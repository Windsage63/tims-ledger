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/>
  <xr:revisionPtr revIDLastSave="0" documentId="13_ncr:1_{29505B4F-A978-45D8-897B-DC6B787041D7}" xr6:coauthVersionLast="47" xr6:coauthVersionMax="47" xr10:uidLastSave="{00000000-0000-0000-0000-000000000000}"/>
  <bookViews>
    <workbookView xWindow="8535" yWindow="2775" windowWidth="24495" windowHeight="13470" activeTab="5" xr2:uid="{00000000-000D-0000-FFFF-FFFF00000000}"/>
  </bookViews>
  <sheets>
    <sheet name="Invoice" sheetId="1" r:id="rId1"/>
    <sheet name="Customers" sheetId="3" r:id="rId2"/>
    <sheet name="Projects" sheetId="2" r:id="rId3"/>
    <sheet name="Time Log" sheetId="4" r:id="rId4"/>
    <sheet name="Expense Log" sheetId="7" r:id="rId5"/>
    <sheet name="Income Tracking" sheetId="5" r:id="rId6"/>
  </sheets>
  <definedNames>
    <definedName name="CompanyName">Invoice!$B$1</definedName>
    <definedName name="CustomerLookup">CustomerList[Company Name]</definedName>
    <definedName name="Invoice_No">'Time Log'!$J:$J</definedName>
    <definedName name="Invoice_No2" localSheetId="4">'Expense Log'!$J:$J</definedName>
    <definedName name="_xlnm.Print_Area" localSheetId="5">'Income Tracking'!$A$1:$N$32</definedName>
    <definedName name="_xlnm.Print_Area" localSheetId="0">Invoice!$B$1:$G$64</definedName>
    <definedName name="_xlnm.Print_Titles" localSheetId="1">Customers!$1:$3</definedName>
    <definedName name="_xlnm.Print_Titles" localSheetId="0">Invoice!$1:$10</definedName>
    <definedName name="_xlnm.Print_Titles" localSheetId="2">Projects!$1:$3</definedName>
    <definedName name="_xlnm.Print_Titles" localSheetId="3">'Time Log'!$1:$3</definedName>
    <definedName name="ProjectLookup">ProjectsList[Project No]</definedName>
    <definedName name="rngInvoice">Invoice!$G$4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1" i="5" l="1"/>
  <c r="D207" i="4"/>
  <c r="E207" i="4"/>
  <c r="K207" i="4" a="1"/>
  <c r="K207" i="4" s="1"/>
  <c r="L207" i="4" s="1"/>
  <c r="G58" i="7"/>
  <c r="D142" i="4"/>
  <c r="E142" i="4"/>
  <c r="K142" i="4" a="1"/>
  <c r="K142" i="4" s="1"/>
  <c r="L142" i="4" s="1"/>
  <c r="H48" i="5"/>
  <c r="H47" i="5"/>
  <c r="D122" i="4"/>
  <c r="E122" i="4"/>
  <c r="K122" i="4" a="1"/>
  <c r="K122" i="4" s="1"/>
  <c r="L122" i="4" s="1"/>
  <c r="C47" i="5"/>
  <c r="K5" i="4" a="1"/>
  <c r="K5" i="4" s="1"/>
  <c r="L5" i="4" s="1"/>
  <c r="K6" i="4" a="1"/>
  <c r="K6" i="4" s="1"/>
  <c r="L6" i="4" s="1"/>
  <c r="K7" i="4" a="1"/>
  <c r="K7" i="4" s="1"/>
  <c r="L7" i="4" s="1"/>
  <c r="K8" i="4" a="1"/>
  <c r="K8" i="4" s="1"/>
  <c r="L8" i="4" s="1"/>
  <c r="K9" i="4" a="1"/>
  <c r="K9" i="4" s="1"/>
  <c r="L9" i="4" s="1"/>
  <c r="K10" i="4" a="1"/>
  <c r="K10" i="4" s="1"/>
  <c r="L10" i="4" s="1"/>
  <c r="K11" i="4" a="1"/>
  <c r="K11" i="4" s="1"/>
  <c r="L11" i="4" s="1"/>
  <c r="K12" i="4" a="1"/>
  <c r="K12" i="4" s="1"/>
  <c r="L12" i="4" s="1"/>
  <c r="K13" i="4" a="1"/>
  <c r="K13" i="4" s="1"/>
  <c r="L13" i="4" s="1"/>
  <c r="K14" i="4" a="1"/>
  <c r="K14" i="4" s="1"/>
  <c r="L14" i="4" s="1"/>
  <c r="K15" i="4" a="1"/>
  <c r="K15" i="4" s="1"/>
  <c r="L15" i="4" s="1"/>
  <c r="K16" i="4" a="1"/>
  <c r="K16" i="4" s="1"/>
  <c r="L16" i="4" s="1"/>
  <c r="K17" i="4" a="1"/>
  <c r="K17" i="4" s="1"/>
  <c r="L17" i="4" s="1"/>
  <c r="K18" i="4" a="1"/>
  <c r="K18" i="4" s="1"/>
  <c r="L18" i="4" s="1"/>
  <c r="K19" i="4" a="1"/>
  <c r="K19" i="4" s="1"/>
  <c r="L19" i="4" s="1"/>
  <c r="K20" i="4" a="1"/>
  <c r="K20" i="4" s="1"/>
  <c r="L20" i="4" s="1"/>
  <c r="K21" i="4" a="1"/>
  <c r="K21" i="4" s="1"/>
  <c r="L21" i="4" s="1"/>
  <c r="K22" i="4" a="1"/>
  <c r="K22" i="4" s="1"/>
  <c r="L22" i="4" s="1"/>
  <c r="K23" i="4" a="1"/>
  <c r="K23" i="4" s="1"/>
  <c r="L23" i="4" s="1"/>
  <c r="K24" i="4" a="1"/>
  <c r="K24" i="4" s="1"/>
  <c r="L24" i="4" s="1"/>
  <c r="K25" i="4" a="1"/>
  <c r="K25" i="4" s="1"/>
  <c r="L25" i="4" s="1"/>
  <c r="K27" i="4" a="1"/>
  <c r="K27" i="4" s="1"/>
  <c r="L27" i="4" s="1"/>
  <c r="K28" i="4" a="1"/>
  <c r="K28" i="4" s="1"/>
  <c r="L28" i="4" s="1"/>
  <c r="K29" i="4" a="1"/>
  <c r="K29" i="4" s="1"/>
  <c r="L29" i="4" s="1"/>
  <c r="K30" i="4" a="1"/>
  <c r="K30" i="4" s="1"/>
  <c r="L30" i="4" s="1"/>
  <c r="K31" i="4" a="1"/>
  <c r="K31" i="4" s="1"/>
  <c r="L31" i="4" s="1"/>
  <c r="K32" i="4" a="1"/>
  <c r="K32" i="4" s="1"/>
  <c r="L32" i="4" s="1"/>
  <c r="K34" i="4" a="1"/>
  <c r="K34" i="4" s="1"/>
  <c r="L34" i="4" s="1"/>
  <c r="K35" i="4" a="1"/>
  <c r="K35" i="4" s="1"/>
  <c r="L35" i="4" s="1"/>
  <c r="K36" i="4" a="1"/>
  <c r="K36" i="4" s="1"/>
  <c r="L36" i="4" s="1"/>
  <c r="K37" i="4" a="1"/>
  <c r="K37" i="4" s="1"/>
  <c r="L37" i="4" s="1"/>
  <c r="K38" i="4" a="1"/>
  <c r="K38" i="4" s="1"/>
  <c r="L38" i="4" s="1"/>
  <c r="K39" i="4" a="1"/>
  <c r="K39" i="4" s="1"/>
  <c r="L39" i="4" s="1"/>
  <c r="K40" i="4" a="1"/>
  <c r="K40" i="4" s="1"/>
  <c r="L40" i="4" s="1"/>
  <c r="K41" i="4" a="1"/>
  <c r="K41" i="4" s="1"/>
  <c r="L41" i="4" s="1"/>
  <c r="K42" i="4" a="1"/>
  <c r="K42" i="4" s="1"/>
  <c r="L42" i="4" s="1"/>
  <c r="K43" i="4" a="1"/>
  <c r="K43" i="4" s="1"/>
  <c r="L43" i="4" s="1"/>
  <c r="K44" i="4" a="1"/>
  <c r="K44" i="4" s="1"/>
  <c r="L44" i="4" s="1"/>
  <c r="K45" i="4" a="1"/>
  <c r="K45" i="4" s="1"/>
  <c r="L45" i="4" s="1"/>
  <c r="K46" i="4" a="1"/>
  <c r="K46" i="4" s="1"/>
  <c r="L46" i="4" s="1"/>
  <c r="K47" i="4" a="1"/>
  <c r="K47" i="4" s="1"/>
  <c r="L47" i="4" s="1"/>
  <c r="K48" i="4" a="1"/>
  <c r="K48" i="4" s="1"/>
  <c r="L48" i="4" s="1"/>
  <c r="K49" i="4" a="1"/>
  <c r="K49" i="4" s="1"/>
  <c r="L49" i="4" s="1"/>
  <c r="K50" i="4" a="1"/>
  <c r="K50" i="4" s="1"/>
  <c r="L50" i="4" s="1"/>
  <c r="K51" i="4" a="1"/>
  <c r="K51" i="4" s="1"/>
  <c r="L51" i="4" s="1"/>
  <c r="K52" i="4" a="1"/>
  <c r="K52" i="4" s="1"/>
  <c r="L52" i="4" s="1"/>
  <c r="K53" i="4" a="1"/>
  <c r="K53" i="4" s="1"/>
  <c r="L53" i="4" s="1"/>
  <c r="K54" i="4" a="1"/>
  <c r="K54" i="4" s="1"/>
  <c r="L54" i="4" s="1"/>
  <c r="K55" i="4" a="1"/>
  <c r="K55" i="4" s="1"/>
  <c r="L55" i="4" s="1"/>
  <c r="K56" i="4" a="1"/>
  <c r="K56" i="4" s="1"/>
  <c r="L56" i="4" s="1"/>
  <c r="K57" i="4" a="1"/>
  <c r="K57" i="4" s="1"/>
  <c r="L57" i="4" s="1"/>
  <c r="K58" i="4" a="1"/>
  <c r="K58" i="4" s="1"/>
  <c r="L58" i="4" s="1"/>
  <c r="K59" i="4" a="1"/>
  <c r="K59" i="4" s="1"/>
  <c r="L59" i="4" s="1"/>
  <c r="K60" i="4" a="1"/>
  <c r="K60" i="4" s="1"/>
  <c r="L60" i="4" s="1"/>
  <c r="K61" i="4" a="1"/>
  <c r="K61" i="4" s="1"/>
  <c r="L61" i="4" s="1"/>
  <c r="K62" i="4" a="1"/>
  <c r="K62" i="4" s="1"/>
  <c r="L62" i="4" s="1"/>
  <c r="K63" i="4" a="1"/>
  <c r="K63" i="4" s="1"/>
  <c r="L63" i="4" s="1"/>
  <c r="K64" i="4" a="1"/>
  <c r="K64" i="4" s="1"/>
  <c r="L64" i="4" s="1"/>
  <c r="K65" i="4" a="1"/>
  <c r="K65" i="4" s="1"/>
  <c r="L65" i="4" s="1"/>
  <c r="K66" i="4" a="1"/>
  <c r="K66" i="4" s="1"/>
  <c r="L66" i="4" s="1"/>
  <c r="K67" i="4" a="1"/>
  <c r="K67" i="4" s="1"/>
  <c r="L67" i="4" s="1"/>
  <c r="K68" i="4" a="1"/>
  <c r="K68" i="4" s="1"/>
  <c r="L68" i="4" s="1"/>
  <c r="K69" i="4" a="1"/>
  <c r="K69" i="4" s="1"/>
  <c r="L69" i="4" s="1"/>
  <c r="K70" i="4" a="1"/>
  <c r="K70" i="4" s="1"/>
  <c r="L70" i="4" s="1"/>
  <c r="K71" i="4" a="1"/>
  <c r="K71" i="4" s="1"/>
  <c r="L71" i="4" s="1"/>
  <c r="K72" i="4" a="1"/>
  <c r="K72" i="4" s="1"/>
  <c r="L72" i="4" s="1"/>
  <c r="K73" i="4" a="1"/>
  <c r="K73" i="4" s="1"/>
  <c r="L73" i="4" s="1"/>
  <c r="K74" i="4" a="1"/>
  <c r="K74" i="4" s="1"/>
  <c r="L74" i="4" s="1"/>
  <c r="K75" i="4" a="1"/>
  <c r="K75" i="4" s="1"/>
  <c r="L75" i="4" s="1"/>
  <c r="K76" i="4" a="1"/>
  <c r="K76" i="4" s="1"/>
  <c r="L76" i="4" s="1"/>
  <c r="K77" i="4" a="1"/>
  <c r="K77" i="4" s="1"/>
  <c r="L77" i="4" s="1"/>
  <c r="K78" i="4" a="1"/>
  <c r="K78" i="4" s="1"/>
  <c r="L78" i="4" s="1"/>
  <c r="K79" i="4" a="1"/>
  <c r="K79" i="4" s="1"/>
  <c r="L79" i="4" s="1"/>
  <c r="K80" i="4" a="1"/>
  <c r="K80" i="4" s="1"/>
  <c r="L80" i="4" s="1"/>
  <c r="K81" i="4" a="1"/>
  <c r="K81" i="4" s="1"/>
  <c r="L81" i="4" s="1"/>
  <c r="K82" i="4" a="1"/>
  <c r="K82" i="4" s="1"/>
  <c r="L82" i="4" s="1"/>
  <c r="K83" i="4" a="1"/>
  <c r="K83" i="4" s="1"/>
  <c r="L83" i="4" s="1"/>
  <c r="K84" i="4" a="1"/>
  <c r="K84" i="4" s="1"/>
  <c r="L84" i="4" s="1"/>
  <c r="K85" i="4" a="1"/>
  <c r="K85" i="4" s="1"/>
  <c r="L85" i="4" s="1"/>
  <c r="K86" i="4" a="1"/>
  <c r="K86" i="4" s="1"/>
  <c r="L86" i="4" s="1"/>
  <c r="K87" i="4" a="1"/>
  <c r="K87" i="4" s="1"/>
  <c r="L87" i="4" s="1"/>
  <c r="K88" i="4" a="1"/>
  <c r="K88" i="4" s="1"/>
  <c r="L88" i="4" s="1"/>
  <c r="K89" i="4" a="1"/>
  <c r="K89" i="4" s="1"/>
  <c r="L89" i="4" s="1"/>
  <c r="K90" i="4" a="1"/>
  <c r="K90" i="4" s="1"/>
  <c r="L90" i="4" s="1"/>
  <c r="K91" i="4" a="1"/>
  <c r="K91" i="4" s="1"/>
  <c r="L91" i="4" s="1"/>
  <c r="K92" i="4" a="1"/>
  <c r="K92" i="4" s="1"/>
  <c r="L92" i="4" s="1"/>
  <c r="K93" i="4" a="1"/>
  <c r="K93" i="4" s="1"/>
  <c r="L93" i="4" s="1"/>
  <c r="K94" i="4" a="1"/>
  <c r="K94" i="4" s="1"/>
  <c r="L94" i="4" s="1"/>
  <c r="K95" i="4" a="1"/>
  <c r="K95" i="4" s="1"/>
  <c r="L95" i="4" s="1"/>
  <c r="K96" i="4" a="1"/>
  <c r="K96" i="4" s="1"/>
  <c r="L96" i="4" s="1"/>
  <c r="K97" i="4" a="1"/>
  <c r="K97" i="4" s="1"/>
  <c r="L97" i="4" s="1"/>
  <c r="K99" i="4" a="1"/>
  <c r="K99" i="4" s="1"/>
  <c r="L99" i="4" s="1"/>
  <c r="K100" i="4" a="1"/>
  <c r="K100" i="4" s="1"/>
  <c r="L100" i="4" s="1"/>
  <c r="K102" i="4" a="1"/>
  <c r="K102" i="4" s="1"/>
  <c r="L102" i="4" s="1"/>
  <c r="K103" i="4" a="1"/>
  <c r="K103" i="4" s="1"/>
  <c r="L103" i="4" s="1"/>
  <c r="K107" i="4" a="1"/>
  <c r="K107" i="4" s="1"/>
  <c r="L107" i="4" s="1"/>
  <c r="K108" i="4" a="1"/>
  <c r="K108" i="4" s="1"/>
  <c r="L108" i="4" s="1"/>
  <c r="K110" i="4" a="1"/>
  <c r="K110" i="4" s="1"/>
  <c r="L110" i="4" s="1"/>
  <c r="K111" i="4" a="1"/>
  <c r="K111" i="4" s="1"/>
  <c r="L111" i="4" s="1"/>
  <c r="K112" i="4" a="1"/>
  <c r="K112" i="4" s="1"/>
  <c r="L112" i="4" s="1"/>
  <c r="K113" i="4" a="1"/>
  <c r="K113" i="4" s="1"/>
  <c r="L113" i="4" s="1"/>
  <c r="K114" i="4" a="1"/>
  <c r="K114" i="4" s="1"/>
  <c r="L114" i="4" s="1"/>
  <c r="K115" i="4" a="1"/>
  <c r="K115" i="4" s="1"/>
  <c r="L115" i="4" s="1"/>
  <c r="K116" i="4" a="1"/>
  <c r="K116" i="4" s="1"/>
  <c r="L116" i="4" s="1"/>
  <c r="K117" i="4" a="1"/>
  <c r="K117" i="4" s="1"/>
  <c r="L117" i="4" s="1"/>
  <c r="K118" i="4" a="1"/>
  <c r="K118" i="4" s="1"/>
  <c r="L118" i="4" s="1"/>
  <c r="K119" i="4" a="1"/>
  <c r="K119" i="4" s="1"/>
  <c r="L119" i="4" s="1"/>
  <c r="K120" i="4" a="1"/>
  <c r="K120" i="4" s="1"/>
  <c r="L120" i="4" s="1"/>
  <c r="K121" i="4" a="1"/>
  <c r="K121" i="4" s="1"/>
  <c r="L121" i="4" s="1"/>
  <c r="K123" i="4" a="1"/>
  <c r="K123" i="4" s="1"/>
  <c r="L123" i="4" s="1"/>
  <c r="K124" i="4" a="1"/>
  <c r="K124" i="4" s="1"/>
  <c r="L124" i="4" s="1"/>
  <c r="K125" i="4" a="1"/>
  <c r="K125" i="4" s="1"/>
  <c r="L125" i="4" s="1"/>
  <c r="K126" i="4" a="1"/>
  <c r="K126" i="4" s="1"/>
  <c r="L126" i="4" s="1"/>
  <c r="K127" i="4" a="1"/>
  <c r="K127" i="4" s="1"/>
  <c r="L127" i="4" s="1"/>
  <c r="K128" i="4" a="1"/>
  <c r="K128" i="4" s="1"/>
  <c r="L128" i="4" s="1"/>
  <c r="K129" i="4" a="1"/>
  <c r="K129" i="4" s="1"/>
  <c r="L129" i="4" s="1"/>
  <c r="K130" i="4" a="1"/>
  <c r="K130" i="4" s="1"/>
  <c r="L130" i="4" s="1"/>
  <c r="K131" i="4" a="1"/>
  <c r="K131" i="4" s="1"/>
  <c r="L131" i="4" s="1"/>
  <c r="K132" i="4" a="1"/>
  <c r="K132" i="4" s="1"/>
  <c r="L132" i="4" s="1"/>
  <c r="K133" i="4" a="1"/>
  <c r="K133" i="4" s="1"/>
  <c r="L133" i="4" s="1"/>
  <c r="K134" i="4" a="1"/>
  <c r="K134" i="4" s="1"/>
  <c r="L134" i="4" s="1"/>
  <c r="K135" i="4" a="1"/>
  <c r="K135" i="4" s="1"/>
  <c r="L135" i="4" s="1"/>
  <c r="K137" i="4" a="1"/>
  <c r="K137" i="4" s="1"/>
  <c r="L137" i="4" s="1"/>
  <c r="K138" i="4" a="1"/>
  <c r="K138" i="4" s="1"/>
  <c r="L138" i="4" s="1"/>
  <c r="K139" i="4" a="1"/>
  <c r="K139" i="4" s="1"/>
  <c r="L139" i="4" s="1"/>
  <c r="K140" i="4" a="1"/>
  <c r="K140" i="4" s="1"/>
  <c r="L140" i="4" s="1"/>
  <c r="K141" i="4" a="1"/>
  <c r="K141" i="4" s="1"/>
  <c r="L141" i="4" s="1"/>
  <c r="K143" i="4" a="1"/>
  <c r="K143" i="4" s="1"/>
  <c r="L143" i="4" s="1"/>
  <c r="K144" i="4" a="1"/>
  <c r="K144" i="4" s="1"/>
  <c r="L144" i="4" s="1"/>
  <c r="K145" i="4" a="1"/>
  <c r="K145" i="4" s="1"/>
  <c r="L145" i="4" s="1"/>
  <c r="K146" i="4" a="1"/>
  <c r="K146" i="4" s="1"/>
  <c r="L146" i="4" s="1"/>
  <c r="K147" i="4" a="1"/>
  <c r="K147" i="4" s="1"/>
  <c r="L147" i="4" s="1"/>
  <c r="K148" i="4" a="1"/>
  <c r="K148" i="4" s="1"/>
  <c r="L148" i="4" s="1"/>
  <c r="K149" i="4" a="1"/>
  <c r="K149" i="4" s="1"/>
  <c r="L149" i="4" s="1"/>
  <c r="K150" i="4" a="1"/>
  <c r="K150" i="4" s="1"/>
  <c r="L150" i="4" s="1"/>
  <c r="K151" i="4" a="1"/>
  <c r="K151" i="4" s="1"/>
  <c r="L151" i="4" s="1"/>
  <c r="K152" i="4" a="1"/>
  <c r="K152" i="4" s="1"/>
  <c r="L152" i="4" s="1"/>
  <c r="K153" i="4" a="1"/>
  <c r="K153" i="4" s="1"/>
  <c r="L153" i="4" s="1"/>
  <c r="K154" i="4" a="1"/>
  <c r="K154" i="4" s="1"/>
  <c r="L154" i="4" s="1"/>
  <c r="K155" i="4" a="1"/>
  <c r="K155" i="4" s="1"/>
  <c r="L155" i="4" s="1"/>
  <c r="K156" i="4" a="1"/>
  <c r="K156" i="4" s="1"/>
  <c r="L156" i="4" s="1"/>
  <c r="K157" i="4" a="1"/>
  <c r="K157" i="4" s="1"/>
  <c r="L157" i="4" s="1"/>
  <c r="K159" i="4" a="1"/>
  <c r="K159" i="4" s="1"/>
  <c r="L159" i="4" s="1"/>
  <c r="K162" i="4" a="1"/>
  <c r="K162" i="4" s="1"/>
  <c r="L162" i="4" s="1"/>
  <c r="K163" i="4" a="1"/>
  <c r="K163" i="4" s="1"/>
  <c r="L163" i="4" s="1"/>
  <c r="K164" i="4" a="1"/>
  <c r="K164" i="4" s="1"/>
  <c r="L164" i="4" s="1"/>
  <c r="K168" i="4" a="1"/>
  <c r="K168" i="4" s="1"/>
  <c r="L168" i="4" s="1"/>
  <c r="K169" i="4" a="1"/>
  <c r="K169" i="4" s="1"/>
  <c r="L169" i="4" s="1"/>
  <c r="K170" i="4" a="1"/>
  <c r="K170" i="4" s="1"/>
  <c r="L170" i="4" s="1"/>
  <c r="K171" i="4" a="1"/>
  <c r="K171" i="4" s="1"/>
  <c r="L171" i="4" s="1"/>
  <c r="K172" i="4" a="1"/>
  <c r="K172" i="4" s="1"/>
  <c r="L172" i="4" s="1"/>
  <c r="K173" i="4" a="1"/>
  <c r="K173" i="4" s="1"/>
  <c r="L173" i="4" s="1"/>
  <c r="K174" i="4" a="1"/>
  <c r="K174" i="4" s="1"/>
  <c r="L174" i="4" s="1"/>
  <c r="K175" i="4" a="1"/>
  <c r="K175" i="4" s="1"/>
  <c r="L175" i="4" s="1"/>
  <c r="K176" i="4" a="1"/>
  <c r="K176" i="4" s="1"/>
  <c r="L176" i="4" s="1"/>
  <c r="K177" i="4" a="1"/>
  <c r="K177" i="4" s="1"/>
  <c r="L177" i="4" s="1"/>
  <c r="K178" i="4" a="1"/>
  <c r="K178" i="4" s="1"/>
  <c r="L178" i="4" s="1"/>
  <c r="K179" i="4" a="1"/>
  <c r="K179" i="4" s="1"/>
  <c r="L179" i="4" s="1"/>
  <c r="K180" i="4" a="1"/>
  <c r="K180" i="4" s="1"/>
  <c r="L180" i="4" s="1"/>
  <c r="K181" i="4" a="1"/>
  <c r="K181" i="4" s="1"/>
  <c r="L181" i="4" s="1"/>
  <c r="K183" i="4" a="1"/>
  <c r="K183" i="4" s="1"/>
  <c r="L183" i="4" s="1"/>
  <c r="K185" i="4" a="1"/>
  <c r="K185" i="4" s="1"/>
  <c r="L185" i="4" s="1"/>
  <c r="K188" i="4" a="1"/>
  <c r="K188" i="4" s="1"/>
  <c r="L188" i="4" s="1"/>
  <c r="K189" i="4" a="1"/>
  <c r="K189" i="4" s="1"/>
  <c r="L189" i="4" s="1"/>
  <c r="K190" i="4" a="1"/>
  <c r="K190" i="4" s="1"/>
  <c r="L190" i="4" s="1"/>
  <c r="K191" i="4" a="1"/>
  <c r="K191" i="4" s="1"/>
  <c r="L191" i="4" s="1"/>
  <c r="K192" i="4" a="1"/>
  <c r="K192" i="4" s="1"/>
  <c r="L192" i="4" s="1"/>
  <c r="K193" i="4" a="1"/>
  <c r="K193" i="4" s="1"/>
  <c r="L193" i="4" s="1"/>
  <c r="K195" i="4" a="1"/>
  <c r="K195" i="4" s="1"/>
  <c r="L195" i="4" s="1"/>
  <c r="K196" i="4" a="1"/>
  <c r="K196" i="4" s="1"/>
  <c r="L196" i="4" s="1"/>
  <c r="K197" i="4" a="1"/>
  <c r="K197" i="4" s="1"/>
  <c r="L197" i="4" s="1"/>
  <c r="K198" i="4" a="1"/>
  <c r="K198" i="4" s="1"/>
  <c r="L198" i="4" s="1"/>
  <c r="K199" i="4" a="1"/>
  <c r="K199" i="4" s="1"/>
  <c r="L199" i="4" s="1"/>
  <c r="K200" i="4" a="1"/>
  <c r="K200" i="4" s="1"/>
  <c r="L200" i="4" s="1"/>
  <c r="K201" i="4" a="1"/>
  <c r="K201" i="4" s="1"/>
  <c r="L201" i="4" s="1"/>
  <c r="K202" i="4" a="1"/>
  <c r="K202" i="4" s="1"/>
  <c r="L202" i="4" s="1"/>
  <c r="K203" i="4" a="1"/>
  <c r="K203" i="4" s="1"/>
  <c r="L203" i="4" s="1"/>
  <c r="K204" i="4" a="1"/>
  <c r="K204" i="4" s="1"/>
  <c r="L204" i="4" s="1"/>
  <c r="K205" i="4" a="1"/>
  <c r="K205" i="4" s="1"/>
  <c r="L205" i="4" s="1"/>
  <c r="K206" i="4" a="1"/>
  <c r="K206" i="4" s="1"/>
  <c r="L206" i="4" s="1"/>
  <c r="K208" i="4" a="1"/>
  <c r="K208" i="4" s="1"/>
  <c r="L208" i="4" s="1"/>
  <c r="K209" i="4" a="1"/>
  <c r="K209" i="4" s="1"/>
  <c r="L209" i="4" s="1"/>
  <c r="K210" i="4" a="1"/>
  <c r="K210" i="4" s="1"/>
  <c r="L210" i="4" s="1"/>
  <c r="K211" i="4" a="1"/>
  <c r="K211" i="4" s="1"/>
  <c r="L211" i="4" s="1"/>
  <c r="K212" i="4" a="1"/>
  <c r="K212" i="4" s="1"/>
  <c r="L212" i="4" s="1"/>
  <c r="K214" i="4" a="1"/>
  <c r="K214" i="4" s="1"/>
  <c r="L214" i="4" s="1"/>
  <c r="K215" i="4" a="1"/>
  <c r="K215" i="4" s="1"/>
  <c r="L215" i="4" s="1"/>
  <c r="K216" i="4" a="1"/>
  <c r="K216" i="4" s="1"/>
  <c r="L216" i="4" s="1"/>
  <c r="K217" i="4" a="1"/>
  <c r="K217" i="4" s="1"/>
  <c r="L217" i="4" s="1"/>
  <c r="K218" i="4" a="1"/>
  <c r="K218" i="4" s="1"/>
  <c r="L218" i="4" s="1"/>
  <c r="K219" i="4" a="1"/>
  <c r="K219" i="4" s="1"/>
  <c r="L219" i="4" s="1"/>
  <c r="K220" i="4" a="1"/>
  <c r="K220" i="4" s="1"/>
  <c r="L220" i="4" s="1"/>
  <c r="K221" i="4" a="1"/>
  <c r="K221" i="4" s="1"/>
  <c r="L221" i="4" s="1"/>
  <c r="K222" i="4" a="1"/>
  <c r="K222" i="4" s="1"/>
  <c r="L222" i="4" s="1"/>
  <c r="K223" i="4" a="1"/>
  <c r="K223" i="4" s="1"/>
  <c r="L223" i="4" s="1"/>
  <c r="K224" i="4" a="1"/>
  <c r="K224" i="4" s="1"/>
  <c r="L224" i="4" s="1"/>
  <c r="K225" i="4" a="1"/>
  <c r="K225" i="4" s="1"/>
  <c r="L225" i="4" s="1"/>
  <c r="K226" i="4" a="1"/>
  <c r="K226" i="4" s="1"/>
  <c r="L226" i="4" s="1"/>
  <c r="K227" i="4" a="1"/>
  <c r="K227" i="4" s="1"/>
  <c r="L227" i="4" s="1"/>
  <c r="K228" i="4" a="1"/>
  <c r="K228" i="4" s="1"/>
  <c r="L228" i="4" s="1"/>
  <c r="K229" i="4" a="1"/>
  <c r="K229" i="4" s="1"/>
  <c r="L229" i="4" s="1"/>
  <c r="K230" i="4" a="1"/>
  <c r="K230" i="4" s="1"/>
  <c r="L230" i="4" s="1"/>
  <c r="K231" i="4" a="1"/>
  <c r="K231" i="4" s="1"/>
  <c r="L231" i="4" s="1"/>
  <c r="K232" i="4" a="1"/>
  <c r="K232" i="4" s="1"/>
  <c r="L232" i="4" s="1"/>
  <c r="K233" i="4" a="1"/>
  <c r="K233" i="4" s="1"/>
  <c r="L233" i="4" s="1"/>
  <c r="K234" i="4" a="1"/>
  <c r="K234" i="4" s="1"/>
  <c r="L234" i="4" s="1"/>
  <c r="K235" i="4" a="1"/>
  <c r="K235" i="4" s="1"/>
  <c r="L235" i="4" s="1"/>
  <c r="K236" i="4" a="1"/>
  <c r="K236" i="4" s="1"/>
  <c r="L236" i="4" s="1"/>
  <c r="K237" i="4" a="1"/>
  <c r="K237" i="4" s="1"/>
  <c r="L237" i="4" s="1"/>
  <c r="K238" i="4" a="1"/>
  <c r="K238" i="4" s="1"/>
  <c r="L238" i="4" s="1"/>
  <c r="K239" i="4" a="1"/>
  <c r="K239" i="4" s="1"/>
  <c r="L239" i="4" s="1"/>
  <c r="K240" i="4" a="1"/>
  <c r="K240" i="4" s="1"/>
  <c r="L240" i="4" s="1"/>
  <c r="K241" i="4" a="1"/>
  <c r="K241" i="4" s="1"/>
  <c r="L241" i="4" s="1"/>
  <c r="K242" i="4" a="1"/>
  <c r="K242" i="4" s="1"/>
  <c r="L242" i="4" s="1"/>
  <c r="K243" i="4" a="1"/>
  <c r="K243" i="4" s="1"/>
  <c r="L243" i="4" s="1"/>
  <c r="K244" i="4" a="1"/>
  <c r="K244" i="4" s="1"/>
  <c r="L244" i="4" s="1"/>
  <c r="K245" i="4" a="1"/>
  <c r="K245" i="4" s="1"/>
  <c r="L245" i="4" s="1"/>
  <c r="K246" i="4" a="1"/>
  <c r="K246" i="4" s="1"/>
  <c r="L246" i="4" s="1"/>
  <c r="K247" i="4" a="1"/>
  <c r="K247" i="4" s="1"/>
  <c r="L247" i="4" s="1"/>
  <c r="K248" i="4" a="1"/>
  <c r="K248" i="4" s="1"/>
  <c r="L248" i="4" s="1"/>
  <c r="K249" i="4" a="1"/>
  <c r="K249" i="4" s="1"/>
  <c r="L249" i="4" s="1"/>
  <c r="K250" i="4" a="1"/>
  <c r="K250" i="4" s="1"/>
  <c r="L250" i="4" s="1"/>
  <c r="K251" i="4" a="1"/>
  <c r="K251" i="4" s="1"/>
  <c r="L251" i="4" s="1"/>
  <c r="K252" i="4" a="1"/>
  <c r="K252" i="4" s="1"/>
  <c r="L252" i="4" s="1"/>
  <c r="K253" i="4" a="1"/>
  <c r="K253" i="4" s="1"/>
  <c r="L253" i="4" s="1"/>
  <c r="K254" i="4" a="1"/>
  <c r="K254" i="4" s="1"/>
  <c r="L254" i="4" s="1"/>
  <c r="K255" i="4" a="1"/>
  <c r="K255" i="4" s="1"/>
  <c r="L255" i="4" s="1"/>
  <c r="K256" i="4" a="1"/>
  <c r="K256" i="4" s="1"/>
  <c r="L256" i="4" s="1"/>
  <c r="K257" i="4" a="1"/>
  <c r="K257" i="4" s="1"/>
  <c r="L257" i="4" s="1"/>
  <c r="K258" i="4" a="1"/>
  <c r="K258" i="4" s="1"/>
  <c r="L258" i="4" s="1"/>
  <c r="K259" i="4" a="1"/>
  <c r="K259" i="4" s="1"/>
  <c r="L259" i="4" s="1"/>
  <c r="K260" i="4" a="1"/>
  <c r="K260" i="4" s="1"/>
  <c r="L260" i="4" s="1"/>
  <c r="K261" i="4" a="1"/>
  <c r="K261" i="4" s="1"/>
  <c r="L261" i="4" s="1"/>
  <c r="K262" i="4" a="1"/>
  <c r="K262" i="4" s="1"/>
  <c r="L262" i="4" s="1"/>
  <c r="K263" i="4" a="1"/>
  <c r="K263" i="4" s="1"/>
  <c r="L263" i="4" s="1"/>
  <c r="K264" i="4" a="1"/>
  <c r="K264" i="4" s="1"/>
  <c r="L264" i="4" s="1"/>
  <c r="K265" i="4" a="1"/>
  <c r="K265" i="4" s="1"/>
  <c r="L265" i="4" s="1"/>
  <c r="K266" i="4" a="1"/>
  <c r="K266" i="4" s="1"/>
  <c r="L266" i="4" s="1"/>
  <c r="K267" i="4" a="1"/>
  <c r="K267" i="4" s="1"/>
  <c r="L267" i="4" s="1"/>
  <c r="K268" i="4" a="1"/>
  <c r="K268" i="4" s="1"/>
  <c r="L268" i="4" s="1"/>
  <c r="K269" i="4" a="1"/>
  <c r="K269" i="4" s="1"/>
  <c r="L269" i="4" s="1"/>
  <c r="K270" i="4" a="1"/>
  <c r="K270" i="4" s="1"/>
  <c r="L270" i="4" s="1"/>
  <c r="K271" i="4" a="1"/>
  <c r="K271" i="4" s="1"/>
  <c r="L271" i="4" s="1"/>
  <c r="K272" i="4" a="1"/>
  <c r="K272" i="4" s="1"/>
  <c r="L272" i="4" s="1"/>
  <c r="K273" i="4" a="1"/>
  <c r="K273" i="4" s="1"/>
  <c r="L273" i="4" s="1"/>
  <c r="K274" i="4" a="1"/>
  <c r="K274" i="4" s="1"/>
  <c r="L274" i="4" s="1"/>
  <c r="K275" i="4" a="1"/>
  <c r="K275" i="4" s="1"/>
  <c r="L275" i="4" s="1"/>
  <c r="K276" i="4" a="1"/>
  <c r="K276" i="4" s="1"/>
  <c r="L276" i="4" s="1"/>
  <c r="K277" i="4" a="1"/>
  <c r="K277" i="4" s="1"/>
  <c r="L277" i="4" s="1"/>
  <c r="K278" i="4" a="1"/>
  <c r="K278" i="4" s="1"/>
  <c r="L278" i="4" s="1"/>
  <c r="K279" i="4" a="1"/>
  <c r="K279" i="4" s="1"/>
  <c r="L279" i="4" s="1"/>
  <c r="K280" i="4" a="1"/>
  <c r="K280" i="4" s="1"/>
  <c r="L280" i="4" s="1"/>
  <c r="K281" i="4" a="1"/>
  <c r="K281" i="4" s="1"/>
  <c r="L281" i="4" s="1"/>
  <c r="K282" i="4" a="1"/>
  <c r="K282" i="4" s="1"/>
  <c r="L282" i="4" s="1"/>
  <c r="K283" i="4" a="1"/>
  <c r="K283" i="4" s="1"/>
  <c r="L283" i="4" s="1"/>
  <c r="K284" i="4" a="1"/>
  <c r="K284" i="4" s="1"/>
  <c r="L284" i="4" s="1"/>
  <c r="K4" i="4" a="1"/>
  <c r="K4" i="4" s="1"/>
  <c r="L4" i="4" s="1"/>
  <c r="E91" i="4"/>
  <c r="D91" i="4"/>
  <c r="E90" i="4"/>
  <c r="D90" i="4"/>
  <c r="E105" i="4"/>
  <c r="D105" i="4"/>
  <c r="E102" i="4"/>
  <c r="D102" i="4"/>
  <c r="E99" i="4"/>
  <c r="D99" i="4"/>
  <c r="D98" i="4"/>
  <c r="E98" i="4"/>
  <c r="D81" i="4"/>
  <c r="E81" i="4"/>
  <c r="Q19" i="5"/>
  <c r="Q23" i="5"/>
  <c r="Q25" i="5" s="1"/>
  <c r="E66" i="4"/>
  <c r="D66" i="4"/>
  <c r="E36" i="2"/>
  <c r="G36" i="2"/>
  <c r="H36" i="2"/>
  <c r="E37" i="2"/>
  <c r="G37" i="2"/>
  <c r="K160" i="4" s="1" a="1"/>
  <c r="K160" i="4" s="1"/>
  <c r="L160" i="4" s="1"/>
  <c r="H37" i="2"/>
  <c r="K158" i="4" s="1" a="1"/>
  <c r="K158" i="4" s="1"/>
  <c r="L158" i="4" s="1"/>
  <c r="E38" i="2"/>
  <c r="G38" i="2"/>
  <c r="K165" i="4" s="1" a="1"/>
  <c r="K165" i="4" s="1"/>
  <c r="L165" i="4" s="1"/>
  <c r="H38" i="2"/>
  <c r="K167" i="4" s="1" a="1"/>
  <c r="K167" i="4" s="1"/>
  <c r="L167" i="4" s="1"/>
  <c r="E39" i="2"/>
  <c r="G39" i="2"/>
  <c r="H39" i="2"/>
  <c r="K194" i="4" s="1" a="1"/>
  <c r="K194" i="4" s="1"/>
  <c r="L194" i="4" s="1"/>
  <c r="E40" i="2"/>
  <c r="G40" i="2"/>
  <c r="H40" i="2"/>
  <c r="E41" i="2"/>
  <c r="G41" i="2"/>
  <c r="H41" i="2"/>
  <c r="E42" i="2"/>
  <c r="G42" i="2"/>
  <c r="H42" i="2"/>
  <c r="E43" i="2"/>
  <c r="G43" i="2"/>
  <c r="H43" i="2"/>
  <c r="E44" i="2"/>
  <c r="G44" i="2"/>
  <c r="H44" i="2"/>
  <c r="E45" i="2"/>
  <c r="G45" i="2"/>
  <c r="H45" i="2"/>
  <c r="E46" i="2"/>
  <c r="G46" i="2"/>
  <c r="H46" i="2"/>
  <c r="E47" i="2"/>
  <c r="G47" i="2"/>
  <c r="H47" i="2"/>
  <c r="E48" i="2"/>
  <c r="G48" i="2"/>
  <c r="H48" i="2"/>
  <c r="E49" i="2"/>
  <c r="G49" i="2"/>
  <c r="H49" i="2"/>
  <c r="E50" i="2"/>
  <c r="G50" i="2"/>
  <c r="H50" i="2"/>
  <c r="E51" i="2"/>
  <c r="G51" i="2"/>
  <c r="H51" i="2"/>
  <c r="E52" i="2"/>
  <c r="G52" i="2"/>
  <c r="H52" i="2"/>
  <c r="E53" i="2"/>
  <c r="G53" i="2"/>
  <c r="H53" i="2"/>
  <c r="C41" i="5"/>
  <c r="C42" i="5"/>
  <c r="C43" i="5"/>
  <c r="C44" i="5"/>
  <c r="C45" i="5"/>
  <c r="C46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13" i="5"/>
  <c r="C14" i="5"/>
  <c r="C15" i="5"/>
  <c r="C16" i="5"/>
  <c r="C17" i="5"/>
  <c r="C10" i="5"/>
  <c r="C11" i="5"/>
  <c r="C12" i="5"/>
  <c r="C9" i="5"/>
  <c r="C8" i="5"/>
  <c r="C7" i="5"/>
  <c r="C5" i="5"/>
  <c r="C6" i="5"/>
  <c r="C4" i="5"/>
  <c r="C38" i="5"/>
  <c r="C39" i="5"/>
  <c r="C40" i="5"/>
  <c r="H40" i="5"/>
  <c r="H41" i="5"/>
  <c r="H42" i="5"/>
  <c r="H43" i="5"/>
  <c r="H44" i="5"/>
  <c r="H45" i="5"/>
  <c r="H46" i="5"/>
  <c r="H49" i="5"/>
  <c r="K50" i="5" s="1"/>
  <c r="H50" i="5"/>
  <c r="H51" i="5"/>
  <c r="K59" i="5" s="1"/>
  <c r="H52" i="5"/>
  <c r="H53" i="5"/>
  <c r="H54" i="5"/>
  <c r="H55" i="5"/>
  <c r="H56" i="5"/>
  <c r="H57" i="5"/>
  <c r="H58" i="5"/>
  <c r="H59" i="5"/>
  <c r="H60" i="5"/>
  <c r="H61" i="5"/>
  <c r="H62" i="5"/>
  <c r="K62" i="5" s="1"/>
  <c r="H63" i="5"/>
  <c r="K68" i="5" s="1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D7" i="7"/>
  <c r="E7" i="7"/>
  <c r="D8" i="7"/>
  <c r="E8" i="7"/>
  <c r="D9" i="7"/>
  <c r="E9" i="7"/>
  <c r="D10" i="7"/>
  <c r="E10" i="7"/>
  <c r="D11" i="7"/>
  <c r="E11" i="7"/>
  <c r="D12" i="7"/>
  <c r="E12" i="7"/>
  <c r="D13" i="7"/>
  <c r="E13" i="7"/>
  <c r="D14" i="7"/>
  <c r="E14" i="7"/>
  <c r="D15" i="7"/>
  <c r="E15" i="7"/>
  <c r="D16" i="7"/>
  <c r="E16" i="7"/>
  <c r="D17" i="7"/>
  <c r="E17" i="7"/>
  <c r="D18" i="7"/>
  <c r="E18" i="7"/>
  <c r="D19" i="7"/>
  <c r="E19" i="7"/>
  <c r="D20" i="7"/>
  <c r="E20" i="7"/>
  <c r="D21" i="7"/>
  <c r="E21" i="7"/>
  <c r="D22" i="7"/>
  <c r="E22" i="7"/>
  <c r="D23" i="7"/>
  <c r="E23" i="7"/>
  <c r="D24" i="7"/>
  <c r="E24" i="7"/>
  <c r="D25" i="7"/>
  <c r="E25" i="7"/>
  <c r="D26" i="7"/>
  <c r="E26" i="7"/>
  <c r="D27" i="7"/>
  <c r="E27" i="7"/>
  <c r="D28" i="7"/>
  <c r="E28" i="7"/>
  <c r="D29" i="7"/>
  <c r="E29" i="7"/>
  <c r="D30" i="7"/>
  <c r="E30" i="7"/>
  <c r="D31" i="7"/>
  <c r="E31" i="7"/>
  <c r="D32" i="7"/>
  <c r="E32" i="7"/>
  <c r="D33" i="7"/>
  <c r="E33" i="7"/>
  <c r="D34" i="7"/>
  <c r="E34" i="7"/>
  <c r="D35" i="7"/>
  <c r="E35" i="7"/>
  <c r="D36" i="7"/>
  <c r="E36" i="7"/>
  <c r="D37" i="7"/>
  <c r="E37" i="7"/>
  <c r="D38" i="7"/>
  <c r="E38" i="7"/>
  <c r="D39" i="7"/>
  <c r="E39" i="7"/>
  <c r="D40" i="7"/>
  <c r="E40" i="7"/>
  <c r="D41" i="7"/>
  <c r="E41" i="7"/>
  <c r="D42" i="7"/>
  <c r="E42" i="7"/>
  <c r="D43" i="7"/>
  <c r="E43" i="7"/>
  <c r="D44" i="7"/>
  <c r="E44" i="7"/>
  <c r="D45" i="7"/>
  <c r="E45" i="7"/>
  <c r="D46" i="7"/>
  <c r="E46" i="7"/>
  <c r="E47" i="7"/>
  <c r="D48" i="7"/>
  <c r="E48" i="7"/>
  <c r="D49" i="7"/>
  <c r="E49" i="7"/>
  <c r="D50" i="7"/>
  <c r="E50" i="7"/>
  <c r="D51" i="7"/>
  <c r="E51" i="7"/>
  <c r="D52" i="7"/>
  <c r="E52" i="7"/>
  <c r="D53" i="7"/>
  <c r="E53" i="7"/>
  <c r="D54" i="7"/>
  <c r="E54" i="7"/>
  <c r="D55" i="7"/>
  <c r="E55" i="7"/>
  <c r="D56" i="7"/>
  <c r="E56" i="7"/>
  <c r="D57" i="7"/>
  <c r="E57" i="7"/>
  <c r="D58" i="7"/>
  <c r="E58" i="7"/>
  <c r="D59" i="7"/>
  <c r="E59" i="7"/>
  <c r="D60" i="7"/>
  <c r="E60" i="7"/>
  <c r="D61" i="7"/>
  <c r="E61" i="7"/>
  <c r="D62" i="7"/>
  <c r="E62" i="7"/>
  <c r="D63" i="7"/>
  <c r="E63" i="7"/>
  <c r="D64" i="7"/>
  <c r="E64" i="7"/>
  <c r="D65" i="7"/>
  <c r="E65" i="7"/>
  <c r="D66" i="7"/>
  <c r="E66" i="7"/>
  <c r="D67" i="7"/>
  <c r="E67" i="7"/>
  <c r="D68" i="7"/>
  <c r="E68" i="7"/>
  <c r="D69" i="7"/>
  <c r="E69" i="7"/>
  <c r="D70" i="7"/>
  <c r="E70" i="7"/>
  <c r="D71" i="7"/>
  <c r="E71" i="7"/>
  <c r="D72" i="7"/>
  <c r="E72" i="7"/>
  <c r="D73" i="7"/>
  <c r="E73" i="7"/>
  <c r="D74" i="7"/>
  <c r="E74" i="7"/>
  <c r="D75" i="7"/>
  <c r="E75" i="7"/>
  <c r="D76" i="7"/>
  <c r="E76" i="7"/>
  <c r="D77" i="7"/>
  <c r="E77" i="7"/>
  <c r="D78" i="7"/>
  <c r="E78" i="7"/>
  <c r="D79" i="7"/>
  <c r="E79" i="7"/>
  <c r="D80" i="7"/>
  <c r="E80" i="7"/>
  <c r="D81" i="7"/>
  <c r="E81" i="7"/>
  <c r="D82" i="7"/>
  <c r="E82" i="7"/>
  <c r="D83" i="7"/>
  <c r="E83" i="7"/>
  <c r="D84" i="7"/>
  <c r="E84" i="7"/>
  <c r="D85" i="7"/>
  <c r="E85" i="7"/>
  <c r="D86" i="7"/>
  <c r="E86" i="7"/>
  <c r="D87" i="7"/>
  <c r="E87" i="7"/>
  <c r="D88" i="7"/>
  <c r="E88" i="7"/>
  <c r="D89" i="7"/>
  <c r="E89" i="7"/>
  <c r="D90" i="7"/>
  <c r="E90" i="7"/>
  <c r="D91" i="7"/>
  <c r="E91" i="7"/>
  <c r="D92" i="7"/>
  <c r="E92" i="7"/>
  <c r="D93" i="7"/>
  <c r="E93" i="7"/>
  <c r="D94" i="7"/>
  <c r="E94" i="7"/>
  <c r="D95" i="7"/>
  <c r="E95" i="7"/>
  <c r="D96" i="7"/>
  <c r="E96" i="7"/>
  <c r="D97" i="7"/>
  <c r="E97" i="7"/>
  <c r="D98" i="7"/>
  <c r="E98" i="7"/>
  <c r="D99" i="7"/>
  <c r="E99" i="7"/>
  <c r="D100" i="7"/>
  <c r="E100" i="7"/>
  <c r="D101" i="7"/>
  <c r="E101" i="7"/>
  <c r="D102" i="7"/>
  <c r="E102" i="7"/>
  <c r="D103" i="7"/>
  <c r="E103" i="7"/>
  <c r="D104" i="7"/>
  <c r="E104" i="7"/>
  <c r="D105" i="7"/>
  <c r="E105" i="7"/>
  <c r="D106" i="7"/>
  <c r="E106" i="7"/>
  <c r="D107" i="7"/>
  <c r="E107" i="7"/>
  <c r="D108" i="7"/>
  <c r="E108" i="7"/>
  <c r="D109" i="7"/>
  <c r="E109" i="7"/>
  <c r="D110" i="7"/>
  <c r="E110" i="7"/>
  <c r="D111" i="7"/>
  <c r="E111" i="7"/>
  <c r="D112" i="7"/>
  <c r="E112" i="7"/>
  <c r="D113" i="7"/>
  <c r="E113" i="7"/>
  <c r="D114" i="7"/>
  <c r="E114" i="7"/>
  <c r="D115" i="7"/>
  <c r="E115" i="7"/>
  <c r="D116" i="7"/>
  <c r="E116" i="7"/>
  <c r="D117" i="7"/>
  <c r="E117" i="7"/>
  <c r="D118" i="7"/>
  <c r="E118" i="7"/>
  <c r="D119" i="7"/>
  <c r="E119" i="7"/>
  <c r="D120" i="7"/>
  <c r="E120" i="7"/>
  <c r="D121" i="7"/>
  <c r="E121" i="7"/>
  <c r="D122" i="7"/>
  <c r="E122" i="7"/>
  <c r="D123" i="7"/>
  <c r="E123" i="7"/>
  <c r="D124" i="7"/>
  <c r="E124" i="7"/>
  <c r="D125" i="7"/>
  <c r="E125" i="7"/>
  <c r="D126" i="7"/>
  <c r="E126" i="7"/>
  <c r="D127" i="7"/>
  <c r="E127" i="7"/>
  <c r="D128" i="7"/>
  <c r="E128" i="7"/>
  <c r="D129" i="7"/>
  <c r="E129" i="7"/>
  <c r="D130" i="7"/>
  <c r="E130" i="7"/>
  <c r="D131" i="7"/>
  <c r="E131" i="7"/>
  <c r="D132" i="7"/>
  <c r="E132" i="7"/>
  <c r="D133" i="7"/>
  <c r="E133" i="7"/>
  <c r="D134" i="7"/>
  <c r="E134" i="7"/>
  <c r="D135" i="7"/>
  <c r="E135" i="7"/>
  <c r="D136" i="7"/>
  <c r="E136" i="7"/>
  <c r="D137" i="7"/>
  <c r="E137" i="7"/>
  <c r="D138" i="7"/>
  <c r="E138" i="7"/>
  <c r="D139" i="7"/>
  <c r="E139" i="7"/>
  <c r="D140" i="7"/>
  <c r="E140" i="7"/>
  <c r="D141" i="7"/>
  <c r="E141" i="7"/>
  <c r="D142" i="7"/>
  <c r="E142" i="7"/>
  <c r="D143" i="7"/>
  <c r="E143" i="7"/>
  <c r="D144" i="7"/>
  <c r="E144" i="7"/>
  <c r="D145" i="7"/>
  <c r="E145" i="7"/>
  <c r="D146" i="7"/>
  <c r="E146" i="7"/>
  <c r="D147" i="7"/>
  <c r="E147" i="7"/>
  <c r="D148" i="7"/>
  <c r="E148" i="7"/>
  <c r="D149" i="7"/>
  <c r="E149" i="7"/>
  <c r="D150" i="7"/>
  <c r="E150" i="7"/>
  <c r="D151" i="7"/>
  <c r="E151" i="7"/>
  <c r="D152" i="7"/>
  <c r="E152" i="7"/>
  <c r="D153" i="7"/>
  <c r="E153" i="7"/>
  <c r="D154" i="7"/>
  <c r="E154" i="7"/>
  <c r="D155" i="7"/>
  <c r="E155" i="7"/>
  <c r="D156" i="7"/>
  <c r="E156" i="7"/>
  <c r="D157" i="7"/>
  <c r="E157" i="7"/>
  <c r="D158" i="7"/>
  <c r="E158" i="7"/>
  <c r="D159" i="7"/>
  <c r="E159" i="7"/>
  <c r="D160" i="7"/>
  <c r="E160" i="7"/>
  <c r="D161" i="7"/>
  <c r="E161" i="7"/>
  <c r="D162" i="7"/>
  <c r="E162" i="7"/>
  <c r="D163" i="7"/>
  <c r="E163" i="7"/>
  <c r="D164" i="7"/>
  <c r="E164" i="7"/>
  <c r="D165" i="7"/>
  <c r="E165" i="7"/>
  <c r="D166" i="7"/>
  <c r="E166" i="7"/>
  <c r="D167" i="7"/>
  <c r="E167" i="7"/>
  <c r="D168" i="7"/>
  <c r="E168" i="7"/>
  <c r="D169" i="7"/>
  <c r="E169" i="7"/>
  <c r="D170" i="7"/>
  <c r="E170" i="7"/>
  <c r="D171" i="7"/>
  <c r="E171" i="7"/>
  <c r="D172" i="7"/>
  <c r="E172" i="7"/>
  <c r="D173" i="7"/>
  <c r="E173" i="7"/>
  <c r="D174" i="7"/>
  <c r="E174" i="7"/>
  <c r="D175" i="7"/>
  <c r="E175" i="7"/>
  <c r="D176" i="7"/>
  <c r="E176" i="7"/>
  <c r="D177" i="7"/>
  <c r="E177" i="7"/>
  <c r="D178" i="7"/>
  <c r="E178" i="7"/>
  <c r="D179" i="7"/>
  <c r="E179" i="7"/>
  <c r="D180" i="7"/>
  <c r="E180" i="7"/>
  <c r="D181" i="7"/>
  <c r="E181" i="7"/>
  <c r="D182" i="7"/>
  <c r="E182" i="7"/>
  <c r="D183" i="7"/>
  <c r="E183" i="7"/>
  <c r="D184" i="7"/>
  <c r="E184" i="7"/>
  <c r="D185" i="7"/>
  <c r="E185" i="7"/>
  <c r="D186" i="7"/>
  <c r="E186" i="7"/>
  <c r="D187" i="7"/>
  <c r="E187" i="7"/>
  <c r="D188" i="7"/>
  <c r="E188" i="7"/>
  <c r="D189" i="7"/>
  <c r="E189" i="7"/>
  <c r="D190" i="7"/>
  <c r="E190" i="7"/>
  <c r="D191" i="7"/>
  <c r="E191" i="7"/>
  <c r="D192" i="7"/>
  <c r="E192" i="7"/>
  <c r="D193" i="7"/>
  <c r="E193" i="7"/>
  <c r="D194" i="7"/>
  <c r="E194" i="7"/>
  <c r="D195" i="7"/>
  <c r="E195" i="7"/>
  <c r="D196" i="7"/>
  <c r="E196" i="7"/>
  <c r="D197" i="7"/>
  <c r="E197" i="7"/>
  <c r="D198" i="7"/>
  <c r="E198" i="7"/>
  <c r="D199" i="7"/>
  <c r="E199" i="7"/>
  <c r="D200" i="7"/>
  <c r="E200" i="7"/>
  <c r="D201" i="7"/>
  <c r="E201" i="7"/>
  <c r="D202" i="7"/>
  <c r="E202" i="7"/>
  <c r="D203" i="7"/>
  <c r="E203" i="7"/>
  <c r="D204" i="7"/>
  <c r="E204" i="7"/>
  <c r="D205" i="7"/>
  <c r="E205" i="7"/>
  <c r="D206" i="7"/>
  <c r="E206" i="7"/>
  <c r="D207" i="7"/>
  <c r="E207" i="7"/>
  <c r="D208" i="7"/>
  <c r="E208" i="7"/>
  <c r="D209" i="7"/>
  <c r="E209" i="7"/>
  <c r="D210" i="7"/>
  <c r="E210" i="7"/>
  <c r="D211" i="7"/>
  <c r="E211" i="7"/>
  <c r="D212" i="7"/>
  <c r="E212" i="7"/>
  <c r="D213" i="7"/>
  <c r="E213" i="7"/>
  <c r="D214" i="7"/>
  <c r="E214" i="7"/>
  <c r="D215" i="7"/>
  <c r="E215" i="7"/>
  <c r="D216" i="7"/>
  <c r="E216" i="7"/>
  <c r="D217" i="7"/>
  <c r="E217" i="7"/>
  <c r="D218" i="7"/>
  <c r="E218" i="7"/>
  <c r="D219" i="7"/>
  <c r="E219" i="7"/>
  <c r="D220" i="7"/>
  <c r="E220" i="7"/>
  <c r="D221" i="7"/>
  <c r="E221" i="7"/>
  <c r="D222" i="7"/>
  <c r="E222" i="7"/>
  <c r="D223" i="7"/>
  <c r="E223" i="7"/>
  <c r="D224" i="7"/>
  <c r="E224" i="7"/>
  <c r="D225" i="7"/>
  <c r="E225" i="7"/>
  <c r="D226" i="7"/>
  <c r="E226" i="7"/>
  <c r="D227" i="7"/>
  <c r="E227" i="7"/>
  <c r="D228" i="7"/>
  <c r="E228" i="7"/>
  <c r="D229" i="7"/>
  <c r="E229" i="7"/>
  <c r="D230" i="7"/>
  <c r="E230" i="7"/>
  <c r="D231" i="7"/>
  <c r="E231" i="7"/>
  <c r="D232" i="7"/>
  <c r="E232" i="7"/>
  <c r="D233" i="7"/>
  <c r="E233" i="7"/>
  <c r="D234" i="7"/>
  <c r="E234" i="7"/>
  <c r="D235" i="7"/>
  <c r="E235" i="7"/>
  <c r="D236" i="7"/>
  <c r="E236" i="7"/>
  <c r="D237" i="7"/>
  <c r="E237" i="7"/>
  <c r="D238" i="7"/>
  <c r="E238" i="7"/>
  <c r="D239" i="7"/>
  <c r="E239" i="7"/>
  <c r="D240" i="7"/>
  <c r="E240" i="7"/>
  <c r="D241" i="7"/>
  <c r="E241" i="7"/>
  <c r="D242" i="7"/>
  <c r="E242" i="7"/>
  <c r="D243" i="7"/>
  <c r="E243" i="7"/>
  <c r="D244" i="7"/>
  <c r="E244" i="7"/>
  <c r="D245" i="7"/>
  <c r="E245" i="7"/>
  <c r="D246" i="7"/>
  <c r="E246" i="7"/>
  <c r="D247" i="7"/>
  <c r="E247" i="7"/>
  <c r="D248" i="7"/>
  <c r="E248" i="7"/>
  <c r="D249" i="7"/>
  <c r="E249" i="7"/>
  <c r="D250" i="7"/>
  <c r="E250" i="7"/>
  <c r="D251" i="7"/>
  <c r="E251" i="7"/>
  <c r="D252" i="7"/>
  <c r="E252" i="7"/>
  <c r="D253" i="7"/>
  <c r="E253" i="7"/>
  <c r="D254" i="7"/>
  <c r="E254" i="7"/>
  <c r="D255" i="7"/>
  <c r="E255" i="7"/>
  <c r="D256" i="7"/>
  <c r="E256" i="7"/>
  <c r="D257" i="7"/>
  <c r="E257" i="7"/>
  <c r="D258" i="7"/>
  <c r="E258" i="7"/>
  <c r="D259" i="7"/>
  <c r="E259" i="7"/>
  <c r="D260" i="7"/>
  <c r="E260" i="7"/>
  <c r="D261" i="7"/>
  <c r="E261" i="7"/>
  <c r="D262" i="7"/>
  <c r="E262" i="7"/>
  <c r="D263" i="7"/>
  <c r="E263" i="7"/>
  <c r="D264" i="7"/>
  <c r="E264" i="7"/>
  <c r="D265" i="7"/>
  <c r="E265" i="7"/>
  <c r="D266" i="7"/>
  <c r="E266" i="7"/>
  <c r="D267" i="7"/>
  <c r="E267" i="7"/>
  <c r="D268" i="7"/>
  <c r="E268" i="7"/>
  <c r="D269" i="7"/>
  <c r="E269" i="7"/>
  <c r="D270" i="7"/>
  <c r="E270" i="7"/>
  <c r="D271" i="7"/>
  <c r="E271" i="7"/>
  <c r="D272" i="7"/>
  <c r="E272" i="7"/>
  <c r="D273" i="7"/>
  <c r="E273" i="7"/>
  <c r="D274" i="7"/>
  <c r="E274" i="7"/>
  <c r="D275" i="7"/>
  <c r="E275" i="7"/>
  <c r="D276" i="7"/>
  <c r="E276" i="7"/>
  <c r="D277" i="7"/>
  <c r="E277" i="7"/>
  <c r="D278" i="7"/>
  <c r="E278" i="7"/>
  <c r="D279" i="7"/>
  <c r="E279" i="7"/>
  <c r="D280" i="7"/>
  <c r="E280" i="7"/>
  <c r="D281" i="7"/>
  <c r="E281" i="7"/>
  <c r="D282" i="7"/>
  <c r="E282" i="7"/>
  <c r="D283" i="7"/>
  <c r="E283" i="7"/>
  <c r="D284" i="7"/>
  <c r="E284" i="7"/>
  <c r="D285" i="7"/>
  <c r="E285" i="7"/>
  <c r="D286" i="7"/>
  <c r="E286" i="7"/>
  <c r="D287" i="7"/>
  <c r="E287" i="7"/>
  <c r="D288" i="7"/>
  <c r="E288" i="7"/>
  <c r="D289" i="7"/>
  <c r="E289" i="7"/>
  <c r="D290" i="7"/>
  <c r="E290" i="7"/>
  <c r="D291" i="7"/>
  <c r="E291" i="7"/>
  <c r="D292" i="7"/>
  <c r="E292" i="7"/>
  <c r="D293" i="7"/>
  <c r="E293" i="7"/>
  <c r="D294" i="7"/>
  <c r="E294" i="7"/>
  <c r="D295" i="7"/>
  <c r="E295" i="7"/>
  <c r="D296" i="7"/>
  <c r="E296" i="7"/>
  <c r="D297" i="7"/>
  <c r="E297" i="7"/>
  <c r="D298" i="7"/>
  <c r="E298" i="7"/>
  <c r="D299" i="7"/>
  <c r="E299" i="7"/>
  <c r="D300" i="7"/>
  <c r="E300" i="7"/>
  <c r="D301" i="7"/>
  <c r="E301" i="7"/>
  <c r="D302" i="7"/>
  <c r="E302" i="7"/>
  <c r="D303" i="7"/>
  <c r="E303" i="7"/>
  <c r="D304" i="7"/>
  <c r="E304" i="7"/>
  <c r="D305" i="7"/>
  <c r="E305" i="7"/>
  <c r="D306" i="7"/>
  <c r="E306" i="7"/>
  <c r="D307" i="7"/>
  <c r="E307" i="7"/>
  <c r="D308" i="7"/>
  <c r="E308" i="7"/>
  <c r="D309" i="7"/>
  <c r="E309" i="7"/>
  <c r="D310" i="7"/>
  <c r="E310" i="7"/>
  <c r="D311" i="7"/>
  <c r="E311" i="7"/>
  <c r="D312" i="7"/>
  <c r="E312" i="7"/>
  <c r="D313" i="7"/>
  <c r="E313" i="7"/>
  <c r="D314" i="7"/>
  <c r="E314" i="7"/>
  <c r="D6" i="7"/>
  <c r="E6" i="7"/>
  <c r="D5" i="7"/>
  <c r="E5" i="7"/>
  <c r="H16" i="5"/>
  <c r="H34" i="5"/>
  <c r="H36" i="5"/>
  <c r="H37" i="5"/>
  <c r="H38" i="5"/>
  <c r="H39" i="5"/>
  <c r="H4" i="5"/>
  <c r="H5" i="5"/>
  <c r="H6" i="5"/>
  <c r="H7" i="5"/>
  <c r="H8" i="5"/>
  <c r="H9" i="5"/>
  <c r="H10" i="5"/>
  <c r="H11" i="5"/>
  <c r="H12" i="5"/>
  <c r="H13" i="5"/>
  <c r="H14" i="5"/>
  <c r="H15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" i="5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54" i="2"/>
  <c r="E55" i="2"/>
  <c r="E56" i="2"/>
  <c r="E57" i="2"/>
  <c r="E58" i="2"/>
  <c r="E59" i="2"/>
  <c r="E60" i="2"/>
  <c r="E61" i="2"/>
  <c r="E4" i="2"/>
  <c r="E5" i="2"/>
  <c r="E6" i="2"/>
  <c r="G315" i="7"/>
  <c r="L314" i="7"/>
  <c r="L313" i="7"/>
  <c r="L312" i="7"/>
  <c r="L311" i="7"/>
  <c r="L310" i="7"/>
  <c r="L309" i="7"/>
  <c r="L308" i="7"/>
  <c r="L307" i="7"/>
  <c r="L306" i="7"/>
  <c r="L305" i="7"/>
  <c r="L304" i="7"/>
  <c r="L303" i="7"/>
  <c r="L302" i="7"/>
  <c r="L301" i="7"/>
  <c r="L300" i="7"/>
  <c r="L299" i="7"/>
  <c r="L298" i="7"/>
  <c r="L297" i="7"/>
  <c r="L296" i="7"/>
  <c r="L295" i="7"/>
  <c r="L294" i="7"/>
  <c r="L293" i="7"/>
  <c r="L292" i="7"/>
  <c r="L291" i="7"/>
  <c r="L290" i="7"/>
  <c r="L289" i="7"/>
  <c r="L288" i="7"/>
  <c r="L287" i="7"/>
  <c r="L286" i="7"/>
  <c r="L285" i="7"/>
  <c r="L284" i="7"/>
  <c r="L283" i="7"/>
  <c r="L282" i="7"/>
  <c r="L281" i="7"/>
  <c r="L280" i="7"/>
  <c r="L279" i="7"/>
  <c r="L278" i="7"/>
  <c r="L277" i="7"/>
  <c r="L276" i="7"/>
  <c r="L275" i="7"/>
  <c r="L274" i="7"/>
  <c r="L273" i="7"/>
  <c r="L272" i="7"/>
  <c r="L271" i="7"/>
  <c r="L270" i="7"/>
  <c r="L269" i="7"/>
  <c r="L268" i="7"/>
  <c r="L267" i="7"/>
  <c r="L266" i="7"/>
  <c r="L265" i="7"/>
  <c r="L264" i="7"/>
  <c r="L263" i="7"/>
  <c r="L262" i="7"/>
  <c r="L261" i="7"/>
  <c r="L260" i="7"/>
  <c r="L259" i="7"/>
  <c r="L258" i="7"/>
  <c r="L257" i="7"/>
  <c r="L256" i="7"/>
  <c r="L255" i="7"/>
  <c r="L254" i="7"/>
  <c r="L253" i="7"/>
  <c r="L252" i="7"/>
  <c r="L251" i="7"/>
  <c r="L250" i="7"/>
  <c r="L249" i="7"/>
  <c r="L248" i="7"/>
  <c r="L247" i="7"/>
  <c r="L246" i="7"/>
  <c r="L245" i="7"/>
  <c r="L244" i="7"/>
  <c r="L243" i="7"/>
  <c r="L242" i="7"/>
  <c r="L241" i="7"/>
  <c r="L240" i="7"/>
  <c r="L239" i="7"/>
  <c r="L238" i="7"/>
  <c r="L237" i="7"/>
  <c r="L236" i="7"/>
  <c r="L235" i="7"/>
  <c r="L234" i="7"/>
  <c r="L233" i="7"/>
  <c r="L232" i="7"/>
  <c r="L231" i="7"/>
  <c r="L230" i="7"/>
  <c r="L229" i="7"/>
  <c r="L228" i="7"/>
  <c r="L227" i="7"/>
  <c r="L226" i="7"/>
  <c r="L225" i="7"/>
  <c r="L224" i="7"/>
  <c r="L223" i="7"/>
  <c r="L222" i="7"/>
  <c r="L221" i="7"/>
  <c r="L220" i="7"/>
  <c r="L219" i="7"/>
  <c r="L218" i="7"/>
  <c r="L217" i="7"/>
  <c r="L216" i="7"/>
  <c r="L215" i="7"/>
  <c r="L214" i="7"/>
  <c r="L213" i="7"/>
  <c r="L212" i="7"/>
  <c r="L211" i="7"/>
  <c r="L210" i="7"/>
  <c r="L209" i="7"/>
  <c r="L208" i="7"/>
  <c r="L207" i="7"/>
  <c r="L206" i="7"/>
  <c r="L205" i="7"/>
  <c r="L204" i="7"/>
  <c r="L203" i="7"/>
  <c r="L202" i="7"/>
  <c r="L201" i="7"/>
  <c r="L200" i="7"/>
  <c r="L199" i="7"/>
  <c r="L198" i="7"/>
  <c r="L197" i="7"/>
  <c r="L196" i="7"/>
  <c r="L195" i="7"/>
  <c r="L194" i="7"/>
  <c r="L193" i="7"/>
  <c r="L192" i="7"/>
  <c r="L191" i="7"/>
  <c r="L190" i="7"/>
  <c r="L189" i="7"/>
  <c r="L188" i="7"/>
  <c r="L187" i="7"/>
  <c r="L186" i="7"/>
  <c r="L185" i="7"/>
  <c r="L184" i="7"/>
  <c r="L183" i="7"/>
  <c r="L182" i="7"/>
  <c r="L181" i="7"/>
  <c r="L180" i="7"/>
  <c r="L179" i="7"/>
  <c r="L178" i="7"/>
  <c r="L177" i="7"/>
  <c r="L176" i="7"/>
  <c r="L175" i="7"/>
  <c r="L174" i="7"/>
  <c r="L173" i="7"/>
  <c r="L172" i="7"/>
  <c r="L171" i="7"/>
  <c r="L170" i="7"/>
  <c r="L169" i="7"/>
  <c r="L168" i="7"/>
  <c r="L167" i="7"/>
  <c r="L166" i="7"/>
  <c r="L165" i="7"/>
  <c r="L164" i="7"/>
  <c r="L163" i="7"/>
  <c r="L162" i="7"/>
  <c r="L161" i="7"/>
  <c r="L160" i="7"/>
  <c r="L159" i="7"/>
  <c r="L158" i="7"/>
  <c r="L157" i="7"/>
  <c r="L156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E4" i="7"/>
  <c r="D4" i="7"/>
  <c r="D51" i="4"/>
  <c r="E51" i="4"/>
  <c r="G24" i="2"/>
  <c r="G25" i="2"/>
  <c r="G26" i="2"/>
  <c r="G27" i="2"/>
  <c r="G28" i="2"/>
  <c r="K105" i="4" s="1" a="1"/>
  <c r="K105" i="4" s="1"/>
  <c r="L105" i="4" s="1"/>
  <c r="G29" i="2"/>
  <c r="K106" i="4" s="1" a="1"/>
  <c r="K106" i="4" s="1"/>
  <c r="L106" i="4" s="1"/>
  <c r="G30" i="2"/>
  <c r="G31" i="2"/>
  <c r="H24" i="2"/>
  <c r="H25" i="2"/>
  <c r="K213" i="4" s="1" a="1"/>
  <c r="K213" i="4" s="1"/>
  <c r="L213" i="4" s="1"/>
  <c r="H26" i="2"/>
  <c r="H27" i="2"/>
  <c r="H28" i="2"/>
  <c r="H29" i="2"/>
  <c r="K109" i="4" s="1" a="1"/>
  <c r="K109" i="4" s="1"/>
  <c r="L109" i="4" s="1"/>
  <c r="H30" i="2"/>
  <c r="H31" i="2"/>
  <c r="G32" i="2"/>
  <c r="G33" i="2"/>
  <c r="G34" i="2"/>
  <c r="K182" i="4" s="1" a="1"/>
  <c r="K182" i="4" s="1"/>
  <c r="L182" i="4" s="1"/>
  <c r="G35" i="2"/>
  <c r="G54" i="2"/>
  <c r="G55" i="2"/>
  <c r="G56" i="2"/>
  <c r="G57" i="2"/>
  <c r="H32" i="2"/>
  <c r="H33" i="2"/>
  <c r="H34" i="2"/>
  <c r="K187" i="4" s="1" a="1"/>
  <c r="K187" i="4" s="1"/>
  <c r="L187" i="4" s="1"/>
  <c r="H35" i="2"/>
  <c r="K136" i="4" s="1" a="1"/>
  <c r="K136" i="4" s="1"/>
  <c r="L136" i="4" s="1"/>
  <c r="H54" i="2"/>
  <c r="H55" i="2"/>
  <c r="H56" i="2"/>
  <c r="H57" i="2"/>
  <c r="K10" i="5"/>
  <c r="K15" i="5"/>
  <c r="K31" i="5"/>
  <c r="K29" i="5"/>
  <c r="K26" i="5"/>
  <c r="K104" i="4" l="1" a="1"/>
  <c r="K104" i="4" s="1"/>
  <c r="L104" i="4" s="1"/>
  <c r="K166" i="4" a="1"/>
  <c r="K166" i="4" s="1"/>
  <c r="L166" i="4" s="1"/>
  <c r="K101" i="4" a="1"/>
  <c r="K101" i="4" s="1"/>
  <c r="L101" i="4" s="1"/>
  <c r="K186" i="4" a="1"/>
  <c r="K186" i="4" s="1"/>
  <c r="L186" i="4" s="1"/>
  <c r="K161" i="4" a="1"/>
  <c r="K161" i="4" s="1"/>
  <c r="L161" i="4" s="1"/>
  <c r="K98" i="4" a="1"/>
  <c r="K98" i="4" s="1"/>
  <c r="L98" i="4" s="1"/>
  <c r="K184" i="4" a="1"/>
  <c r="K184" i="4" s="1"/>
  <c r="L184" i="4" s="1"/>
  <c r="K46" i="5"/>
  <c r="I3" i="5"/>
  <c r="I4" i="5" s="1" a="1"/>
  <c r="I4" i="5" s="1"/>
  <c r="I5" i="5" s="1" a="1"/>
  <c r="I5" i="5" s="1"/>
  <c r="I6" i="5" s="1" a="1"/>
  <c r="I6" i="5" s="1"/>
  <c r="I7" i="5" s="1" a="1"/>
  <c r="I7" i="5" s="1"/>
  <c r="I8" i="5" s="1" a="1"/>
  <c r="I8" i="5" s="1"/>
  <c r="I9" i="5" s="1" a="1"/>
  <c r="I9" i="5" s="1"/>
  <c r="I10" i="5" s="1" a="1"/>
  <c r="I10" i="5" s="1"/>
  <c r="I11" i="5" s="1" a="1"/>
  <c r="I11" i="5" s="1"/>
  <c r="I12" i="5" s="1" a="1"/>
  <c r="I12" i="5" s="1"/>
  <c r="I13" i="5" s="1" a="1"/>
  <c r="I13" i="5" s="1"/>
  <c r="I14" i="5" s="1" a="1"/>
  <c r="I14" i="5" s="1"/>
  <c r="I15" i="5" s="1" a="1"/>
  <c r="I15" i="5" s="1"/>
  <c r="I16" i="5" s="1" a="1"/>
  <c r="I16" i="5" s="1"/>
  <c r="I17" i="5" s="1" a="1"/>
  <c r="I17" i="5" s="1"/>
  <c r="I18" i="5" s="1" a="1"/>
  <c r="I18" i="5" s="1"/>
  <c r="I19" i="5" s="1" a="1"/>
  <c r="I19" i="5" s="1"/>
  <c r="I20" i="5" s="1" a="1"/>
  <c r="I20" i="5" s="1"/>
  <c r="I21" i="5" s="1" a="1"/>
  <c r="I21" i="5" s="1"/>
  <c r="I22" i="5" s="1" a="1"/>
  <c r="I22" i="5" s="1"/>
  <c r="I23" i="5" s="1" a="1"/>
  <c r="I23" i="5" s="1"/>
  <c r="I24" i="5" s="1" a="1"/>
  <c r="I24" i="5" s="1"/>
  <c r="I25" i="5" s="1" a="1"/>
  <c r="I25" i="5" s="1"/>
  <c r="I26" i="5" s="1" a="1"/>
  <c r="I26" i="5" s="1"/>
  <c r="I27" i="5" s="1" a="1"/>
  <c r="I27" i="5" s="1"/>
  <c r="I28" i="5" s="1" a="1"/>
  <c r="I28" i="5" s="1"/>
  <c r="I29" i="5" s="1" a="1"/>
  <c r="I29" i="5" s="1"/>
  <c r="I30" i="5" s="1" a="1"/>
  <c r="I30" i="5" s="1"/>
  <c r="I31" i="5" s="1" a="1"/>
  <c r="I31" i="5" s="1"/>
  <c r="I32" i="5" s="1" a="1"/>
  <c r="I32" i="5" s="1"/>
  <c r="I33" i="5" s="1" a="1"/>
  <c r="I33" i="5" s="1"/>
  <c r="I34" i="5" s="1" a="1"/>
  <c r="I34" i="5" s="1"/>
  <c r="B38" i="1" a="1"/>
  <c r="B38" i="1" s="1"/>
  <c r="I36" i="5" a="1"/>
  <c r="I36" i="5" s="1"/>
  <c r="I37" i="5" s="1" a="1"/>
  <c r="I37" i="5" s="1"/>
  <c r="I38" i="5" s="1" a="1"/>
  <c r="I38" i="5" s="1"/>
  <c r="I39" i="5" s="1" a="1"/>
  <c r="I39" i="5" s="1"/>
  <c r="I40" i="5" s="1" a="1"/>
  <c r="I40" i="5" s="1"/>
  <c r="I41" i="5" s="1" a="1"/>
  <c r="I41" i="5" s="1"/>
  <c r="I42" i="5" s="1" a="1"/>
  <c r="I42" i="5" s="1"/>
  <c r="I43" i="5" s="1" a="1"/>
  <c r="I43" i="5" s="1"/>
  <c r="I44" i="5" s="1" a="1"/>
  <c r="I44" i="5" s="1"/>
  <c r="I45" i="5" s="1" a="1"/>
  <c r="I45" i="5" s="1"/>
  <c r="I46" i="5" s="1" a="1"/>
  <c r="I46" i="5" s="1"/>
  <c r="L315" i="7"/>
  <c r="L2" i="7" s="1"/>
  <c r="K28" i="5"/>
  <c r="I47" i="5" l="1" a="1"/>
  <c r="I47" i="5" s="1"/>
  <c r="I48" i="5" s="1" a="1"/>
  <c r="I48" i="5" s="1"/>
  <c r="G58" i="1"/>
  <c r="K8" i="5"/>
  <c r="G5" i="2"/>
  <c r="H5" i="2"/>
  <c r="I49" i="5" l="1" a="1"/>
  <c r="I49" i="5" s="1"/>
  <c r="I50" i="5" s="1" a="1"/>
  <c r="I50" i="5" s="1"/>
  <c r="I51" i="5" s="1" a="1"/>
  <c r="I51" i="5" s="1"/>
  <c r="I52" i="5" s="1" a="1"/>
  <c r="I52" i="5" s="1"/>
  <c r="I53" i="5" s="1" a="1"/>
  <c r="I53" i="5" s="1"/>
  <c r="I54" i="5" s="1" a="1"/>
  <c r="I54" i="5" s="1"/>
  <c r="I55" i="5" s="1" a="1"/>
  <c r="I55" i="5" s="1"/>
  <c r="I56" i="5" s="1" a="1"/>
  <c r="I56" i="5" s="1"/>
  <c r="I57" i="5" s="1" a="1"/>
  <c r="I57" i="5" s="1"/>
  <c r="I58" i="5" s="1" a="1"/>
  <c r="I58" i="5" s="1"/>
  <c r="I59" i="5" s="1" a="1"/>
  <c r="I59" i="5" s="1"/>
  <c r="I60" i="5" s="1" a="1"/>
  <c r="I60" i="5" s="1"/>
  <c r="I61" i="5" s="1" a="1"/>
  <c r="I61" i="5" s="1"/>
  <c r="I62" i="5" s="1" a="1"/>
  <c r="I62" i="5" s="1"/>
  <c r="I63" i="5" s="1" a="1"/>
  <c r="I63" i="5" s="1"/>
  <c r="I64" i="5" s="1" a="1"/>
  <c r="I64" i="5" s="1"/>
  <c r="I65" i="5" s="1" a="1"/>
  <c r="I65" i="5" s="1"/>
  <c r="I66" i="5" s="1" a="1"/>
  <c r="I66" i="5" s="1"/>
  <c r="I67" i="5" s="1" a="1"/>
  <c r="I67" i="5" s="1"/>
  <c r="I68" i="5" s="1" a="1"/>
  <c r="I68" i="5" s="1"/>
  <c r="I69" i="5" s="1" a="1"/>
  <c r="I69" i="5" s="1"/>
  <c r="I70" i="5" s="1" a="1"/>
  <c r="I70" i="5" s="1"/>
  <c r="I71" i="5" s="1" a="1"/>
  <c r="I71" i="5" s="1"/>
  <c r="I72" i="5" s="1" a="1"/>
  <c r="I72" i="5" s="1"/>
  <c r="I73" i="5" s="1" a="1"/>
  <c r="I73" i="5" s="1"/>
  <c r="I74" i="5" s="1" a="1"/>
  <c r="I74" i="5" s="1"/>
  <c r="I75" i="5" s="1" a="1"/>
  <c r="I75" i="5" s="1"/>
  <c r="I76" i="5" s="1" a="1"/>
  <c r="I76" i="5" s="1"/>
  <c r="I77" i="5" s="1" a="1"/>
  <c r="I77" i="5" s="1"/>
  <c r="I78" i="5" s="1" a="1"/>
  <c r="I78" i="5" s="1"/>
  <c r="I79" i="5" s="1" a="1"/>
  <c r="I79" i="5" s="1"/>
  <c r="I80" i="5" s="1" a="1"/>
  <c r="I80" i="5" s="1"/>
  <c r="I81" i="5" s="1" a="1"/>
  <c r="I81" i="5" s="1"/>
  <c r="I82" i="5" s="1" a="1"/>
  <c r="I82" i="5" s="1"/>
  <c r="I83" i="5" s="1" a="1"/>
  <c r="I83" i="5" s="1"/>
  <c r="I84" i="5" s="1" a="1"/>
  <c r="I84" i="5" s="1"/>
  <c r="I85" i="5" s="1" a="1"/>
  <c r="I85" i="5" s="1"/>
  <c r="I86" i="5" s="1" a="1"/>
  <c r="I86" i="5" s="1"/>
  <c r="I87" i="5" s="1" a="1"/>
  <c r="I87" i="5" s="1"/>
  <c r="I88" i="5" s="1" a="1"/>
  <c r="I88" i="5" s="1"/>
  <c r="I89" i="5" s="1" a="1"/>
  <c r="I89" i="5" s="1"/>
  <c r="I90" i="5" s="1" a="1"/>
  <c r="I90" i="5" s="1"/>
  <c r="I91" i="5" s="1" a="1"/>
  <c r="I91" i="5" s="1"/>
  <c r="I92" i="5" s="1" a="1"/>
  <c r="I92" i="5" s="1"/>
  <c r="I93" i="5" s="1" a="1"/>
  <c r="I93" i="5" s="1"/>
  <c r="I94" i="5" s="1" a="1"/>
  <c r="I94" i="5" s="1"/>
  <c r="I95" i="5" s="1" a="1"/>
  <c r="I95" i="5" s="1"/>
  <c r="I96" i="5" s="1" a="1"/>
  <c r="I96" i="5" s="1"/>
  <c r="I97" i="5" s="1" a="1"/>
  <c r="I97" i="5" s="1"/>
  <c r="I98" i="5" s="1" a="1"/>
  <c r="I98" i="5" s="1"/>
  <c r="I99" i="5" s="1" a="1"/>
  <c r="I99" i="5" s="1"/>
  <c r="I100" i="5" s="1" a="1"/>
  <c r="I100" i="5" s="1"/>
  <c r="I101" i="5" s="1" a="1"/>
  <c r="I101" i="5" s="1"/>
  <c r="I102" i="5" s="1" a="1"/>
  <c r="I102" i="5" s="1"/>
  <c r="I103" i="5" s="1" a="1"/>
  <c r="I103" i="5" s="1"/>
  <c r="I104" i="5" s="1" a="1"/>
  <c r="I104" i="5" s="1"/>
  <c r="I105" i="5" s="1" a="1"/>
  <c r="I105" i="5" s="1"/>
  <c r="I106" i="5" s="1" a="1"/>
  <c r="I106" i="5" s="1"/>
  <c r="I107" i="5" s="1" a="1"/>
  <c r="I107" i="5" s="1"/>
  <c r="I108" i="5" s="1" a="1"/>
  <c r="I108" i="5" s="1"/>
  <c r="I109" i="5" s="1" a="1"/>
  <c r="I109" i="5" s="1"/>
  <c r="I110" i="5" s="1" a="1"/>
  <c r="I110" i="5" s="1"/>
  <c r="I111" i="5" s="1" a="1"/>
  <c r="I111" i="5" s="1"/>
  <c r="I112" i="5" s="1" a="1"/>
  <c r="I112" i="5" s="1"/>
  <c r="G6" i="2"/>
  <c r="G7" i="2"/>
  <c r="G8" i="2"/>
  <c r="H6" i="2"/>
  <c r="H7" i="2"/>
  <c r="H8" i="2"/>
  <c r="G9" i="2"/>
  <c r="G10" i="2"/>
  <c r="G11" i="2"/>
  <c r="G12" i="2"/>
  <c r="G13" i="2"/>
  <c r="G14" i="2"/>
  <c r="H9" i="2"/>
  <c r="H10" i="2"/>
  <c r="H11" i="2"/>
  <c r="H12" i="2"/>
  <c r="H13" i="2"/>
  <c r="H14" i="2"/>
  <c r="G15" i="2"/>
  <c r="G16" i="2"/>
  <c r="G17" i="2"/>
  <c r="G18" i="2"/>
  <c r="G19" i="2"/>
  <c r="G20" i="2"/>
  <c r="H15" i="2"/>
  <c r="H16" i="2"/>
  <c r="H17" i="2"/>
  <c r="H18" i="2"/>
  <c r="H19" i="2"/>
  <c r="H20" i="2"/>
  <c r="G21" i="2"/>
  <c r="G22" i="2"/>
  <c r="H21" i="2"/>
  <c r="H22" i="2"/>
  <c r="G23" i="2"/>
  <c r="G58" i="2"/>
  <c r="H23" i="2"/>
  <c r="H58" i="2"/>
  <c r="G59" i="2"/>
  <c r="H59" i="2"/>
  <c r="G60" i="2"/>
  <c r="H60" i="2"/>
  <c r="G61" i="2"/>
  <c r="H61" i="2"/>
  <c r="D5" i="4"/>
  <c r="E5" i="4"/>
  <c r="D6" i="4"/>
  <c r="E6" i="4"/>
  <c r="D7" i="4"/>
  <c r="E7" i="4"/>
  <c r="D8" i="4"/>
  <c r="E8" i="4"/>
  <c r="D9" i="4"/>
  <c r="E9" i="4"/>
  <c r="D10" i="4"/>
  <c r="E10" i="4"/>
  <c r="D11" i="4"/>
  <c r="E11" i="4"/>
  <c r="D12" i="4"/>
  <c r="E12" i="4"/>
  <c r="D13" i="4"/>
  <c r="E13" i="4"/>
  <c r="D14" i="4"/>
  <c r="E14" i="4"/>
  <c r="D15" i="4"/>
  <c r="E15" i="4"/>
  <c r="D16" i="4"/>
  <c r="E16" i="4"/>
  <c r="D17" i="4"/>
  <c r="E17" i="4"/>
  <c r="D18" i="4"/>
  <c r="E18" i="4"/>
  <c r="D19" i="4"/>
  <c r="E19" i="4"/>
  <c r="D20" i="4"/>
  <c r="E20" i="4"/>
  <c r="D21" i="4"/>
  <c r="E21" i="4"/>
  <c r="D22" i="4"/>
  <c r="E22" i="4"/>
  <c r="D23" i="4"/>
  <c r="E23" i="4"/>
  <c r="D24" i="4"/>
  <c r="E24" i="4"/>
  <c r="D25" i="4"/>
  <c r="E25" i="4"/>
  <c r="D26" i="4"/>
  <c r="E26" i="4"/>
  <c r="D27" i="4"/>
  <c r="E27" i="4"/>
  <c r="D28" i="4"/>
  <c r="E28" i="4"/>
  <c r="D29" i="4"/>
  <c r="E29" i="4"/>
  <c r="D30" i="4"/>
  <c r="E30" i="4"/>
  <c r="D31" i="4"/>
  <c r="E31" i="4"/>
  <c r="D32" i="4"/>
  <c r="E32" i="4"/>
  <c r="D33" i="4"/>
  <c r="E33" i="4"/>
  <c r="D34" i="4"/>
  <c r="E34" i="4"/>
  <c r="D35" i="4"/>
  <c r="E35" i="4"/>
  <c r="D36" i="4"/>
  <c r="E36" i="4"/>
  <c r="D37" i="4"/>
  <c r="E37" i="4"/>
  <c r="D38" i="4"/>
  <c r="E38" i="4"/>
  <c r="D39" i="4"/>
  <c r="E39" i="4"/>
  <c r="D40" i="4"/>
  <c r="E40" i="4"/>
  <c r="D41" i="4"/>
  <c r="E41" i="4"/>
  <c r="D42" i="4"/>
  <c r="E42" i="4"/>
  <c r="D43" i="4"/>
  <c r="E43" i="4"/>
  <c r="D44" i="4"/>
  <c r="E44" i="4"/>
  <c r="D45" i="4"/>
  <c r="E45" i="4"/>
  <c r="D46" i="4"/>
  <c r="E46" i="4"/>
  <c r="D47" i="4"/>
  <c r="E47" i="4"/>
  <c r="D48" i="4"/>
  <c r="E48" i="4"/>
  <c r="D49" i="4"/>
  <c r="E49" i="4"/>
  <c r="D50" i="4"/>
  <c r="E50" i="4"/>
  <c r="D52" i="4"/>
  <c r="E52" i="4"/>
  <c r="D53" i="4"/>
  <c r="E53" i="4"/>
  <c r="D54" i="4"/>
  <c r="E54" i="4"/>
  <c r="D55" i="4"/>
  <c r="E55" i="4"/>
  <c r="D56" i="4"/>
  <c r="E56" i="4"/>
  <c r="D57" i="4"/>
  <c r="E57" i="4"/>
  <c r="D58" i="4"/>
  <c r="E58" i="4"/>
  <c r="D59" i="4"/>
  <c r="E59" i="4"/>
  <c r="D60" i="4"/>
  <c r="E60" i="4"/>
  <c r="D61" i="4"/>
  <c r="E61" i="4"/>
  <c r="D62" i="4"/>
  <c r="E62" i="4"/>
  <c r="D63" i="4"/>
  <c r="E63" i="4"/>
  <c r="D64" i="4"/>
  <c r="E64" i="4"/>
  <c r="D65" i="4"/>
  <c r="E65" i="4"/>
  <c r="D67" i="4"/>
  <c r="E67" i="4"/>
  <c r="D68" i="4"/>
  <c r="E68" i="4"/>
  <c r="D69" i="4"/>
  <c r="E69" i="4"/>
  <c r="D70" i="4"/>
  <c r="E70" i="4"/>
  <c r="D71" i="4"/>
  <c r="E71" i="4"/>
  <c r="D72" i="4"/>
  <c r="E72" i="4"/>
  <c r="D73" i="4"/>
  <c r="E73" i="4"/>
  <c r="D74" i="4"/>
  <c r="E74" i="4"/>
  <c r="D75" i="4"/>
  <c r="E75" i="4"/>
  <c r="D76" i="4"/>
  <c r="E76" i="4"/>
  <c r="D77" i="4"/>
  <c r="E77" i="4"/>
  <c r="D78" i="4"/>
  <c r="E78" i="4"/>
  <c r="D79" i="4"/>
  <c r="E79" i="4"/>
  <c r="D80" i="4"/>
  <c r="E80" i="4"/>
  <c r="D82" i="4"/>
  <c r="E82" i="4"/>
  <c r="D83" i="4"/>
  <c r="E83" i="4"/>
  <c r="D84" i="4"/>
  <c r="E84" i="4"/>
  <c r="D85" i="4"/>
  <c r="E85" i="4"/>
  <c r="D86" i="4"/>
  <c r="E86" i="4"/>
  <c r="D87" i="4"/>
  <c r="E87" i="4"/>
  <c r="D88" i="4"/>
  <c r="E88" i="4"/>
  <c r="D89" i="4"/>
  <c r="E89" i="4"/>
  <c r="D92" i="4"/>
  <c r="E92" i="4"/>
  <c r="D93" i="4"/>
  <c r="E93" i="4"/>
  <c r="D94" i="4"/>
  <c r="E94" i="4"/>
  <c r="D95" i="4"/>
  <c r="E95" i="4"/>
  <c r="D96" i="4"/>
  <c r="E96" i="4"/>
  <c r="D97" i="4"/>
  <c r="E97" i="4"/>
  <c r="D100" i="4"/>
  <c r="E100" i="4"/>
  <c r="D101" i="4"/>
  <c r="E101" i="4"/>
  <c r="D103" i="4"/>
  <c r="E103" i="4"/>
  <c r="D104" i="4"/>
  <c r="E104" i="4"/>
  <c r="D106" i="4"/>
  <c r="E106" i="4"/>
  <c r="D107" i="4"/>
  <c r="E107" i="4"/>
  <c r="D108" i="4"/>
  <c r="E108" i="4"/>
  <c r="D109" i="4"/>
  <c r="E109" i="4"/>
  <c r="D110" i="4"/>
  <c r="E110" i="4"/>
  <c r="D111" i="4"/>
  <c r="E111" i="4"/>
  <c r="D112" i="4"/>
  <c r="E112" i="4"/>
  <c r="D113" i="4"/>
  <c r="E113" i="4"/>
  <c r="D114" i="4"/>
  <c r="E114" i="4"/>
  <c r="D115" i="4"/>
  <c r="E115" i="4"/>
  <c r="D116" i="4"/>
  <c r="E116" i="4"/>
  <c r="D117" i="4"/>
  <c r="E117" i="4"/>
  <c r="D118" i="4"/>
  <c r="E118" i="4"/>
  <c r="D119" i="4"/>
  <c r="E119" i="4"/>
  <c r="D120" i="4"/>
  <c r="E120" i="4"/>
  <c r="D121" i="4"/>
  <c r="E121" i="4"/>
  <c r="D123" i="4"/>
  <c r="E123" i="4"/>
  <c r="D124" i="4"/>
  <c r="E124" i="4"/>
  <c r="D125" i="4"/>
  <c r="E125" i="4"/>
  <c r="D126" i="4"/>
  <c r="E126" i="4"/>
  <c r="D127" i="4"/>
  <c r="E127" i="4"/>
  <c r="D128" i="4"/>
  <c r="E128" i="4"/>
  <c r="D129" i="4"/>
  <c r="E129" i="4"/>
  <c r="D130" i="4"/>
  <c r="E130" i="4"/>
  <c r="D131" i="4"/>
  <c r="E131" i="4"/>
  <c r="D132" i="4"/>
  <c r="E132" i="4"/>
  <c r="D133" i="4"/>
  <c r="E133" i="4"/>
  <c r="D134" i="4"/>
  <c r="E134" i="4"/>
  <c r="D135" i="4"/>
  <c r="E135" i="4"/>
  <c r="D136" i="4"/>
  <c r="E136" i="4"/>
  <c r="D137" i="4"/>
  <c r="E137" i="4"/>
  <c r="D138" i="4"/>
  <c r="E138" i="4"/>
  <c r="D139" i="4"/>
  <c r="E139" i="4"/>
  <c r="D140" i="4"/>
  <c r="E140" i="4"/>
  <c r="D141" i="4"/>
  <c r="E141" i="4"/>
  <c r="D143" i="4"/>
  <c r="E143" i="4"/>
  <c r="D144" i="4"/>
  <c r="E144" i="4"/>
  <c r="D145" i="4"/>
  <c r="E145" i="4"/>
  <c r="D146" i="4"/>
  <c r="E146" i="4"/>
  <c r="D147" i="4"/>
  <c r="E147" i="4"/>
  <c r="D148" i="4"/>
  <c r="E148" i="4"/>
  <c r="D149" i="4"/>
  <c r="E149" i="4"/>
  <c r="D150" i="4"/>
  <c r="E150" i="4"/>
  <c r="D151" i="4"/>
  <c r="E151" i="4"/>
  <c r="D152" i="4"/>
  <c r="E152" i="4"/>
  <c r="D153" i="4"/>
  <c r="E153" i="4"/>
  <c r="D154" i="4"/>
  <c r="E154" i="4"/>
  <c r="D155" i="4"/>
  <c r="E155" i="4"/>
  <c r="D156" i="4"/>
  <c r="E156" i="4"/>
  <c r="D157" i="4"/>
  <c r="E157" i="4"/>
  <c r="D158" i="4"/>
  <c r="E158" i="4"/>
  <c r="D159" i="4"/>
  <c r="E159" i="4"/>
  <c r="D160" i="4"/>
  <c r="E160" i="4"/>
  <c r="D161" i="4"/>
  <c r="E161" i="4"/>
  <c r="D162" i="4"/>
  <c r="E162" i="4"/>
  <c r="D163" i="4"/>
  <c r="E163" i="4"/>
  <c r="D164" i="4"/>
  <c r="E164" i="4"/>
  <c r="D165" i="4"/>
  <c r="E165" i="4"/>
  <c r="D166" i="4"/>
  <c r="E166" i="4"/>
  <c r="D167" i="4"/>
  <c r="E167" i="4"/>
  <c r="D168" i="4"/>
  <c r="E168" i="4"/>
  <c r="D169" i="4"/>
  <c r="E169" i="4"/>
  <c r="D170" i="4"/>
  <c r="E170" i="4"/>
  <c r="D171" i="4"/>
  <c r="E171" i="4"/>
  <c r="D172" i="4"/>
  <c r="E172" i="4"/>
  <c r="D173" i="4"/>
  <c r="E173" i="4"/>
  <c r="D174" i="4"/>
  <c r="E174" i="4"/>
  <c r="D175" i="4"/>
  <c r="E175" i="4"/>
  <c r="D176" i="4"/>
  <c r="E176" i="4"/>
  <c r="D177" i="4"/>
  <c r="E177" i="4"/>
  <c r="D178" i="4"/>
  <c r="E178" i="4"/>
  <c r="D179" i="4"/>
  <c r="E179" i="4"/>
  <c r="D180" i="4"/>
  <c r="E180" i="4"/>
  <c r="D181" i="4"/>
  <c r="E181" i="4"/>
  <c r="D182" i="4"/>
  <c r="E182" i="4"/>
  <c r="D183" i="4"/>
  <c r="E183" i="4"/>
  <c r="D184" i="4"/>
  <c r="E184" i="4"/>
  <c r="D185" i="4"/>
  <c r="E185" i="4"/>
  <c r="D186" i="4"/>
  <c r="E186" i="4"/>
  <c r="D187" i="4"/>
  <c r="E187" i="4"/>
  <c r="D188" i="4"/>
  <c r="E188" i="4"/>
  <c r="D189" i="4"/>
  <c r="E189" i="4"/>
  <c r="D190" i="4"/>
  <c r="E190" i="4"/>
  <c r="D191" i="4"/>
  <c r="E191" i="4"/>
  <c r="D192" i="4"/>
  <c r="E192" i="4"/>
  <c r="D193" i="4"/>
  <c r="E193" i="4"/>
  <c r="D194" i="4"/>
  <c r="E194" i="4"/>
  <c r="D195" i="4"/>
  <c r="E195" i="4"/>
  <c r="D196" i="4"/>
  <c r="E196" i="4"/>
  <c r="D197" i="4"/>
  <c r="E197" i="4"/>
  <c r="D198" i="4"/>
  <c r="D199" i="4"/>
  <c r="D200" i="4"/>
  <c r="D201" i="4"/>
  <c r="D202" i="4"/>
  <c r="D203" i="4"/>
  <c r="D204" i="4"/>
  <c r="D205" i="4"/>
  <c r="D206" i="4"/>
  <c r="D208" i="4"/>
  <c r="D209" i="4"/>
  <c r="D210" i="4"/>
  <c r="D211" i="4"/>
  <c r="D212" i="4"/>
  <c r="D213" i="4"/>
  <c r="E198" i="4"/>
  <c r="E199" i="4"/>
  <c r="E200" i="4"/>
  <c r="E201" i="4"/>
  <c r="E202" i="4"/>
  <c r="E203" i="4"/>
  <c r="E204" i="4"/>
  <c r="E205" i="4"/>
  <c r="E206" i="4"/>
  <c r="E208" i="4"/>
  <c r="E209" i="4"/>
  <c r="E210" i="4"/>
  <c r="E211" i="4"/>
  <c r="E212" i="4"/>
  <c r="E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E214" i="4"/>
  <c r="E215" i="4"/>
  <c r="E216" i="4"/>
  <c r="E217" i="4"/>
  <c r="E218" i="4"/>
  <c r="E219" i="4"/>
  <c r="E220" i="4"/>
  <c r="E221" i="4"/>
  <c r="E222" i="4"/>
  <c r="E223" i="4"/>
  <c r="E224" i="4"/>
  <c r="E225" i="4"/>
  <c r="E226" i="4"/>
  <c r="E227" i="4"/>
  <c r="E228" i="4"/>
  <c r="E229" i="4"/>
  <c r="E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E231" i="4"/>
  <c r="E232" i="4"/>
  <c r="E233" i="4"/>
  <c r="E234" i="4"/>
  <c r="E235" i="4"/>
  <c r="E236" i="4"/>
  <c r="E237" i="4"/>
  <c r="E238" i="4"/>
  <c r="E239" i="4"/>
  <c r="E240" i="4"/>
  <c r="E241" i="4"/>
  <c r="E242" i="4"/>
  <c r="E243" i="4"/>
  <c r="E244" i="4"/>
  <c r="E245" i="4"/>
  <c r="E246" i="4"/>
  <c r="E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E248" i="4"/>
  <c r="E249" i="4"/>
  <c r="E250" i="4"/>
  <c r="E251" i="4"/>
  <c r="E252" i="4"/>
  <c r="E253" i="4"/>
  <c r="E254" i="4"/>
  <c r="E255" i="4"/>
  <c r="E256" i="4"/>
  <c r="E257" i="4"/>
  <c r="E258" i="4"/>
  <c r="E259" i="4"/>
  <c r="E260" i="4"/>
  <c r="E261" i="4"/>
  <c r="E262" i="4"/>
  <c r="E263" i="4"/>
  <c r="E264" i="4"/>
  <c r="D265" i="4"/>
  <c r="D266" i="4"/>
  <c r="D267" i="4"/>
  <c r="D268" i="4"/>
  <c r="D269" i="4"/>
  <c r="D270" i="4"/>
  <c r="E265" i="4"/>
  <c r="E266" i="4"/>
  <c r="E267" i="4"/>
  <c r="E268" i="4"/>
  <c r="E269" i="4"/>
  <c r="E270" i="4"/>
  <c r="D271" i="4"/>
  <c r="D272" i="4"/>
  <c r="D273" i="4"/>
  <c r="D274" i="4"/>
  <c r="D275" i="4"/>
  <c r="D276" i="4"/>
  <c r="E271" i="4"/>
  <c r="E272" i="4"/>
  <c r="E273" i="4"/>
  <c r="E274" i="4"/>
  <c r="E275" i="4"/>
  <c r="E276" i="4"/>
  <c r="E4" i="4"/>
  <c r="D4" i="4"/>
  <c r="E279" i="4"/>
  <c r="D279" i="4"/>
  <c r="E278" i="4"/>
  <c r="D278" i="4"/>
  <c r="E277" i="4"/>
  <c r="D277" i="4"/>
  <c r="D280" i="4"/>
  <c r="E280" i="4"/>
  <c r="D281" i="4"/>
  <c r="E281" i="4"/>
  <c r="D282" i="4"/>
  <c r="E282" i="4"/>
  <c r="D283" i="4"/>
  <c r="E283" i="4"/>
  <c r="A127" i="5" l="1" a="1"/>
  <c r="A127" i="5" s="1"/>
  <c r="K33" i="4" a="1"/>
  <c r="K33" i="4" s="1"/>
  <c r="L33" i="4" s="1"/>
  <c r="K26" i="4" a="1"/>
  <c r="K26" i="4" s="1"/>
  <c r="L26" i="4" s="1"/>
  <c r="B11" i="1" a="1"/>
  <c r="G285" i="4"/>
  <c r="G2" i="4" s="1"/>
  <c r="D284" i="4"/>
  <c r="E284" i="4"/>
  <c r="G4" i="2"/>
  <c r="H4" i="2"/>
  <c r="B63" i="1"/>
  <c r="B11" i="1" l="1"/>
  <c r="E8" i="1"/>
  <c r="C4" i="1"/>
  <c r="G37" i="1"/>
  <c r="G59" i="1" s="1"/>
  <c r="L285" i="4"/>
  <c r="L2" i="4" s="1"/>
  <c r="C6" i="1" l="1"/>
  <c r="C8" i="1"/>
  <c r="C7" i="1"/>
  <c r="C5" i="1"/>
  <c r="G61" i="1"/>
  <c r="G6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<sst xmlns="http://schemas.openxmlformats.org/spreadsheetml/2006/main" count="927" uniqueCount="344">
  <si>
    <t>Phone</t>
  </si>
  <si>
    <t>TOTAL</t>
  </si>
  <si>
    <t>Company Name</t>
  </si>
  <si>
    <t>Contact Name</t>
  </si>
  <si>
    <t>Address</t>
  </si>
  <si>
    <t>City</t>
  </si>
  <si>
    <t>State</t>
  </si>
  <si>
    <t>Project Description</t>
  </si>
  <si>
    <t>Description</t>
  </si>
  <si>
    <t>Notes</t>
  </si>
  <si>
    <t>Fax</t>
  </si>
  <si>
    <t>Bill To:</t>
  </si>
  <si>
    <t>Address:</t>
  </si>
  <si>
    <t>Invoice Date:</t>
  </si>
  <si>
    <t>Tax Rate</t>
  </si>
  <si>
    <t>Sales Tax</t>
  </si>
  <si>
    <t>Other</t>
  </si>
  <si>
    <t>Qty</t>
  </si>
  <si>
    <t>Price</t>
  </si>
  <si>
    <t>Unit Price</t>
  </si>
  <si>
    <t>Email</t>
  </si>
  <si>
    <t>Customers</t>
  </si>
  <si>
    <t>Invoice #:</t>
  </si>
  <si>
    <t>Company</t>
  </si>
  <si>
    <t>ZIP Code</t>
  </si>
  <si>
    <t>Air Advantage, Inc.</t>
  </si>
  <si>
    <t>Date</t>
  </si>
  <si>
    <t>Total due in 30 days. Overdue accounts subject to a service charge of 1% per month.</t>
  </si>
  <si>
    <t>Work Description</t>
  </si>
  <si>
    <t>Hours</t>
  </si>
  <si>
    <t>Type</t>
  </si>
  <si>
    <t>Projects</t>
  </si>
  <si>
    <t>Straight Time</t>
  </si>
  <si>
    <t>Overtime</t>
  </si>
  <si>
    <t>Travel Time</t>
  </si>
  <si>
    <t>Customer</t>
  </si>
  <si>
    <t>TRK Engineering Services, Inc.</t>
  </si>
  <si>
    <t>Tom Keeler</t>
  </si>
  <si>
    <t>Westford</t>
  </si>
  <si>
    <t>MA</t>
  </si>
  <si>
    <t>978-793-0502</t>
  </si>
  <si>
    <t>TRK@apcnetwork.com</t>
  </si>
  <si>
    <t>Project No</t>
  </si>
  <si>
    <t>8 Bates Lane</t>
  </si>
  <si>
    <t>01886</t>
  </si>
  <si>
    <t>Total</t>
  </si>
  <si>
    <t>Rate</t>
  </si>
  <si>
    <t>ST</t>
  </si>
  <si>
    <t>TT</t>
  </si>
  <si>
    <t>Time Sheet Log</t>
  </si>
  <si>
    <t>Invoice #</t>
  </si>
  <si>
    <t>Paul Leanza</t>
  </si>
  <si>
    <t>Marsulex Environmental Technologies, Inc.</t>
  </si>
  <si>
    <t>850-341-3972</t>
  </si>
  <si>
    <t>paul.leanza@met.net</t>
  </si>
  <si>
    <t>705 West Romana St.</t>
  </si>
  <si>
    <t>Pensacola</t>
  </si>
  <si>
    <t>FL</t>
  </si>
  <si>
    <t>HD</t>
  </si>
  <si>
    <t>Reinhold Environmental, Inc.</t>
  </si>
  <si>
    <t>Susan Reinhold</t>
  </si>
  <si>
    <t>IL</t>
  </si>
  <si>
    <t>3850 Bordeaux Dr.</t>
  </si>
  <si>
    <t>Northbrook</t>
  </si>
  <si>
    <t>847-291-7396</t>
  </si>
  <si>
    <t>sreinhold@reinholdenvironmental.com</t>
  </si>
  <si>
    <t>New Indy - Catawba Inlet Field Rebuild</t>
  </si>
  <si>
    <t>Holcim Lafarge - Joppa</t>
  </si>
  <si>
    <t>Conference Call</t>
  </si>
  <si>
    <t>LCRA - Fayette Power Project - Unit 2</t>
  </si>
  <si>
    <t>MMSD Outlet Duct</t>
  </si>
  <si>
    <t>Marathon - WESP</t>
  </si>
  <si>
    <t>240489-0601</t>
  </si>
  <si>
    <t>Consulting Amount</t>
  </si>
  <si>
    <t>Travel Expenses</t>
  </si>
  <si>
    <t>Miscellaneous Exp.</t>
  </si>
  <si>
    <t>Begining Balance</t>
  </si>
  <si>
    <t>240490-0600</t>
  </si>
  <si>
    <t>240491-0602</t>
  </si>
  <si>
    <t>240492-0603</t>
  </si>
  <si>
    <t>240493-0604</t>
  </si>
  <si>
    <t>IP - Riverdale, AL BB2</t>
  </si>
  <si>
    <t>Feb Invoice  total for Sales Tax</t>
  </si>
  <si>
    <t>240488-0605</t>
  </si>
  <si>
    <t>230486-0606</t>
  </si>
  <si>
    <t>Proposal Writing and office work</t>
  </si>
  <si>
    <t>Cleveland Cliffs - Dearborn Upper Drop Out Box</t>
  </si>
  <si>
    <t>Infinite Cooling WESP</t>
  </si>
  <si>
    <t>Mar Invoice total for sales tax</t>
  </si>
  <si>
    <t>IP - Riverdale, AL RB1 and RB2</t>
  </si>
  <si>
    <t>New Indy - Catawba Multiclone</t>
  </si>
  <si>
    <t>Brittany Global - WESP</t>
  </si>
  <si>
    <t>240491-0607</t>
  </si>
  <si>
    <t>240493-0608</t>
  </si>
  <si>
    <t>240492-0609</t>
  </si>
  <si>
    <t>230486-0610</t>
  </si>
  <si>
    <t>230494-0611</t>
  </si>
  <si>
    <t>April Invoice total for sales tax</t>
  </si>
  <si>
    <t>240495-0612</t>
  </si>
  <si>
    <t>240497-0613</t>
  </si>
  <si>
    <t>240498-0614</t>
  </si>
  <si>
    <t>Suncor - Field Work</t>
  </si>
  <si>
    <t>Suncor - Engineering</t>
  </si>
  <si>
    <t>Engineering</t>
  </si>
  <si>
    <t>240501-0615</t>
  </si>
  <si>
    <t>240492-0616</t>
  </si>
  <si>
    <t>240499-0617</t>
  </si>
  <si>
    <t>240500-0618</t>
  </si>
  <si>
    <t>240491-0619</t>
  </si>
  <si>
    <t>240493-0620</t>
  </si>
  <si>
    <t>240489-0621</t>
  </si>
  <si>
    <t>240492-0622</t>
  </si>
  <si>
    <t>230486-0623</t>
  </si>
  <si>
    <t>240491-0624</t>
  </si>
  <si>
    <t>240491-0625</t>
  </si>
  <si>
    <t>240491-0626</t>
  </si>
  <si>
    <t>240501-0627</t>
  </si>
  <si>
    <t>PAID
Deposit Date</t>
  </si>
  <si>
    <t>Income Tracking</t>
  </si>
  <si>
    <t xml:space="preserve">Invoice Number </t>
  </si>
  <si>
    <t>Y</t>
  </si>
  <si>
    <t>Feb</t>
  </si>
  <si>
    <t>Mar</t>
  </si>
  <si>
    <t>Apr</t>
  </si>
  <si>
    <t>Jul</t>
  </si>
  <si>
    <t>Aug</t>
  </si>
  <si>
    <t>Sep</t>
  </si>
  <si>
    <t>Oct</t>
  </si>
  <si>
    <t>MMSD Outlet Duct - Model Study</t>
  </si>
  <si>
    <t>Modeling</t>
  </si>
  <si>
    <t>240491-0628</t>
  </si>
  <si>
    <t>240491-0629</t>
  </si>
  <si>
    <t>Check # 0382</t>
  </si>
  <si>
    <t>Payment for Model Studys - MMSD and Suncor</t>
  </si>
  <si>
    <t>Prepayment for 2025</t>
  </si>
  <si>
    <t>Check # 0383</t>
  </si>
  <si>
    <t>240491-0630</t>
  </si>
  <si>
    <t>240502-0631</t>
  </si>
  <si>
    <t>Tressie Martin</t>
  </si>
  <si>
    <t>Crestview</t>
  </si>
  <si>
    <t>850-624-6964</t>
  </si>
  <si>
    <t>tressiemartin@outlook.com</t>
  </si>
  <si>
    <t>154 Lloyd St, Crestview</t>
  </si>
  <si>
    <t>Holcim - Ada - Inspection</t>
  </si>
  <si>
    <t>Travel to site</t>
  </si>
  <si>
    <t>On Site</t>
  </si>
  <si>
    <t>Travel from site</t>
  </si>
  <si>
    <t>Drawings</t>
  </si>
  <si>
    <t>Suncor Weekly Meetings</t>
  </si>
  <si>
    <t>Suncor Extra Engineering</t>
  </si>
  <si>
    <t>HAZOP meeting</t>
  </si>
  <si>
    <t>Material Quote, Worley questions, conference call</t>
  </si>
  <si>
    <t>Material Quote, Worley electrical questions</t>
  </si>
  <si>
    <t>Engineering for Worley electrical</t>
  </si>
  <si>
    <t>Answering Questions on Drawings</t>
  </si>
  <si>
    <t>Conference call and modifying 82P5017-C01-01</t>
  </si>
  <si>
    <t>Modifying 82P5017-C11-01-r1</t>
  </si>
  <si>
    <t>Conference all and modyfying 82P5017-C11-01</t>
  </si>
  <si>
    <t>Expense Description</t>
  </si>
  <si>
    <t>Spare</t>
  </si>
  <si>
    <t>Engineering Admin</t>
  </si>
  <si>
    <t>Project_Label</t>
  </si>
  <si>
    <t>Project</t>
  </si>
  <si>
    <t>Phone:</t>
  </si>
  <si>
    <t>Email:</t>
  </si>
  <si>
    <t>Email:  tmallory@outlook.com</t>
  </si>
  <si>
    <t>Phone:  850-774-3283</t>
  </si>
  <si>
    <t>Sub-Total Expenses</t>
  </si>
  <si>
    <t>Sub-Total Service</t>
  </si>
  <si>
    <t xml:space="preserve">     2850 Lake Silver Rd</t>
  </si>
  <si>
    <t xml:space="preserve">     Crestview, FL 32536</t>
  </si>
  <si>
    <t>fixed fee - $ 0</t>
  </si>
  <si>
    <t>Suncor Model Study - Inlet &amp;Coke Fines</t>
  </si>
  <si>
    <t>Suncor Model Study - Crossover &amp; Mods</t>
  </si>
  <si>
    <t>fixed fee - $ 28,350.00</t>
  </si>
  <si>
    <t xml:space="preserve">fixed fee - $ 30,000.00 </t>
  </si>
  <si>
    <t>Sub-Total Invoice</t>
  </si>
  <si>
    <t>Save this formula for later for rental property sheets</t>
  </si>
  <si>
    <t>Conferene Call</t>
  </si>
  <si>
    <t>PAID (Y/N)</t>
  </si>
  <si>
    <t>Column1</t>
  </si>
  <si>
    <t>Column2</t>
  </si>
  <si>
    <t>Column3</t>
  </si>
  <si>
    <t>Notes:</t>
  </si>
  <si>
    <t>Invoice Date</t>
  </si>
  <si>
    <t>Monthly Totals</t>
  </si>
  <si>
    <t>Running Balance</t>
  </si>
  <si>
    <t>Customer Name</t>
  </si>
  <si>
    <t>Total Invoice</t>
  </si>
  <si>
    <t>End of Year 2024 Balance</t>
  </si>
  <si>
    <t>Beginning of year 0</t>
  </si>
  <si>
    <t>Airfare</t>
  </si>
  <si>
    <t>Southwest Airlines</t>
  </si>
  <si>
    <t>LAZ Airport Parking</t>
  </si>
  <si>
    <t>Parking</t>
  </si>
  <si>
    <t>Enterprise Car Rental</t>
  </si>
  <si>
    <t>Rental Car</t>
  </si>
  <si>
    <t>Casey's Dallas</t>
  </si>
  <si>
    <t>Gas</t>
  </si>
  <si>
    <t>Surestay Plus by Best Western</t>
  </si>
  <si>
    <t>Lodging</t>
  </si>
  <si>
    <t>Report Writing</t>
  </si>
  <si>
    <t>250505-0632</t>
  </si>
  <si>
    <t>Emails on MR</t>
  </si>
  <si>
    <t>Filtered Sub-Total</t>
  </si>
  <si>
    <t>Questions on Hopper Temperature Probes and drawings</t>
  </si>
  <si>
    <t>Westrock Plus Specifications</t>
  </si>
  <si>
    <t>Westrock Power Plus Specifications</t>
  </si>
  <si>
    <t>Fixed Fee - Completed</t>
  </si>
  <si>
    <t>Fixed Fee</t>
  </si>
  <si>
    <t>Fixed cost model study</t>
  </si>
  <si>
    <t>240491-0633</t>
  </si>
  <si>
    <t>240493-0634</t>
  </si>
  <si>
    <t>250503-0635</t>
  </si>
  <si>
    <t>250506-0636</t>
  </si>
  <si>
    <t>250507-0637</t>
  </si>
  <si>
    <t>250509-0638</t>
  </si>
  <si>
    <t>Mileage to Airport</t>
  </si>
  <si>
    <t>Mileage</t>
  </si>
  <si>
    <t>Perdiem</t>
  </si>
  <si>
    <t>Mileage from Airport</t>
  </si>
  <si>
    <t>Questions on Valves</t>
  </si>
  <si>
    <t>MR Work</t>
  </si>
  <si>
    <t>Column4</t>
  </si>
  <si>
    <t>March</t>
  </si>
  <si>
    <t>Pricing work</t>
  </si>
  <si>
    <t>Conference call</t>
  </si>
  <si>
    <t>Clarifications</t>
  </si>
  <si>
    <t>OI Brockway Glass</t>
  </si>
  <si>
    <t>Travel</t>
  </si>
  <si>
    <t>MR Conference Call</t>
  </si>
  <si>
    <t>Illinois Cement</t>
  </si>
  <si>
    <t>Gasket</t>
  </si>
  <si>
    <t>OT</t>
  </si>
  <si>
    <t>Rio Tinto FS &amp; FC ESP</t>
  </si>
  <si>
    <t>MR Conference Call and writing structural explanation</t>
  </si>
  <si>
    <t>Help with Envision</t>
  </si>
  <si>
    <t>Estimate for Steve</t>
  </si>
  <si>
    <t>Answers for RFIs</t>
  </si>
  <si>
    <t>Freight</t>
  </si>
  <si>
    <t>Joe Sobin</t>
  </si>
  <si>
    <t>1601 Rockwell Rd.</t>
  </si>
  <si>
    <t>La Salle</t>
  </si>
  <si>
    <t>815-224-2112</t>
  </si>
  <si>
    <t>2850 Lake Silver Rd.</t>
  </si>
  <si>
    <t>jsobin@illinioscement.com</t>
  </si>
  <si>
    <t>Misc.</t>
  </si>
  <si>
    <t>St James Hotel, Selma, AL</t>
  </si>
  <si>
    <t>Alliance Safety</t>
  </si>
  <si>
    <t>Travel on site</t>
  </si>
  <si>
    <t>Vertical Plenum Drawing</t>
  </si>
  <si>
    <t>Correct TRK balance, delete this line next year</t>
  </si>
  <si>
    <t>June</t>
  </si>
  <si>
    <t>Conference call and reading drawings</t>
  </si>
  <si>
    <t>EWP Meeting</t>
  </si>
  <si>
    <t>Call support for TR set troubleshooting</t>
  </si>
  <si>
    <t>Drawing Review ahead of meeting</t>
  </si>
  <si>
    <t>Hopewell - powerplus installation</t>
  </si>
  <si>
    <t>IP - Rome, GA RB5 &amp; WHB6</t>
  </si>
  <si>
    <t>Delta Air Lines</t>
  </si>
  <si>
    <t>Mission Valero</t>
  </si>
  <si>
    <t>LAZ Parking VPS</t>
  </si>
  <si>
    <t>Best Western Luxury Tracy CA</t>
  </si>
  <si>
    <t>250511-0640</t>
  </si>
  <si>
    <t>250502-0641</t>
  </si>
  <si>
    <t>250510-0642</t>
  </si>
  <si>
    <t>250506-0643</t>
  </si>
  <si>
    <t>250507-0644</t>
  </si>
  <si>
    <t>240489-0645</t>
  </si>
  <si>
    <t>250513-0646</t>
  </si>
  <si>
    <t>250512-0639</t>
  </si>
  <si>
    <t>240496-0647</t>
  </si>
  <si>
    <t>250515-0649</t>
  </si>
  <si>
    <t>250514-0648</t>
  </si>
  <si>
    <t>250508-0650</t>
  </si>
  <si>
    <t>this line subtracts the 639 invoice amount to keep TRK running balance correct. Don't forget to add it back for total income.</t>
  </si>
  <si>
    <t>TRK - Ardagh-Pevely Conveyor</t>
  </si>
  <si>
    <t>On Site &amp; Travel from site</t>
  </si>
  <si>
    <t>Engineering for Conveyor</t>
  </si>
  <si>
    <t>Juice Can Enclosure</t>
  </si>
  <si>
    <t>Drawing for Anti-Sway</t>
  </si>
  <si>
    <t>Tamworth Estimates</t>
  </si>
  <si>
    <t>Small Projects - General Office help</t>
  </si>
  <si>
    <t xml:space="preserve">Rotary valves for Catalyst dust </t>
  </si>
  <si>
    <t>250517-0651</t>
  </si>
  <si>
    <t>Crownway Oil</t>
  </si>
  <si>
    <t>Best Western Louisant Louis Mo</t>
  </si>
  <si>
    <t>Proposal for Tamworth</t>
  </si>
  <si>
    <t>IP - Pine Hill, AL</t>
  </si>
  <si>
    <t>Safety Training</t>
  </si>
  <si>
    <t>Training / Safety Classes</t>
  </si>
  <si>
    <t>Gas for rental car</t>
  </si>
  <si>
    <t>Uber</t>
  </si>
  <si>
    <t>Drawing C01-01 Revision</t>
  </si>
  <si>
    <t>Quality Inn 9/18-9/21</t>
  </si>
  <si>
    <t>Perdiem 9/18 - 9/21</t>
  </si>
  <si>
    <t>Quality Inn 9/16 - 9/18</t>
  </si>
  <si>
    <t>Per Diem 10/2/2025</t>
  </si>
  <si>
    <t>Report Writing - to be completed</t>
  </si>
  <si>
    <t>250519-0652</t>
  </si>
  <si>
    <t>250520-0653</t>
  </si>
  <si>
    <t>Drawing D06-32 Revision</t>
  </si>
  <si>
    <t>Drawing Revisions, Model Study Report Revisions</t>
  </si>
  <si>
    <t>Help with Safety</t>
  </si>
  <si>
    <t>Call with Infinite Cooling</t>
  </si>
  <si>
    <t>Drawing Revisions, Ash system, thermowell</t>
  </si>
  <si>
    <t>Duke Belews Creek Proposal</t>
  </si>
  <si>
    <t>Hotel Accommodations Rome GA</t>
  </si>
  <si>
    <t>Per Diem 10.08.2025 - 10.15.2025</t>
  </si>
  <si>
    <t>Ardagh Glass, Pevely</t>
  </si>
  <si>
    <t>Approval of Components</t>
  </si>
  <si>
    <t>Update drawing D06-36</t>
  </si>
  <si>
    <t>250516-0654</t>
  </si>
  <si>
    <t>Mileage Crestview, FL / Selma, AL</t>
  </si>
  <si>
    <t>Milegage Crestview, FL / Rome, GA</t>
  </si>
  <si>
    <t>Mileage between hotel and site</t>
  </si>
  <si>
    <t>Tyvek suits, gloves</t>
  </si>
  <si>
    <t>250506-0655</t>
  </si>
  <si>
    <t>250513-0656</t>
  </si>
  <si>
    <t>250507-0657</t>
  </si>
  <si>
    <t>250518-0659</t>
  </si>
  <si>
    <t>250521-0658</t>
  </si>
  <si>
    <t>Best Western</t>
  </si>
  <si>
    <t>Airport Parking</t>
  </si>
  <si>
    <t>PerDiem</t>
  </si>
  <si>
    <t>Per Diem</t>
  </si>
  <si>
    <t>Mileage to Pensacola Airport</t>
  </si>
  <si>
    <t>Mileage from Pensacola Airport</t>
  </si>
  <si>
    <t>Milegage to Airport</t>
  </si>
  <si>
    <t>Purchasing for TECO</t>
  </si>
  <si>
    <t>Purchasing , Juice Can Housing Design</t>
  </si>
  <si>
    <t>Revise ash system drawings</t>
  </si>
  <si>
    <t>Meeting with Worley on inspections and documents</t>
  </si>
  <si>
    <t>Travel to ESP Specialties, Folkston GA</t>
  </si>
  <si>
    <t>ESP Component inspection</t>
  </si>
  <si>
    <t>ESP Specialties inspection report writing</t>
  </si>
  <si>
    <t>MMSD Questions about welding proceedures</t>
  </si>
  <si>
    <t>240496-0660</t>
  </si>
  <si>
    <t>Deposit</t>
  </si>
  <si>
    <t>250518-0661</t>
  </si>
  <si>
    <t>250507-0662</t>
  </si>
  <si>
    <t>Mileage from Crestview to Kingsland</t>
  </si>
  <si>
    <t>Hotel Accommodations Kingsland</t>
  </si>
  <si>
    <t>Mileage Hotel to Plant to Crestview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</si>
</sst>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&quot;$&quot;#,##0.00"/>
    <numFmt numFmtId="166" formatCode="00000"/>
    <numFmt numFmtId="167" formatCode="_)@\ \ "/>
    <numFmt numFmtId="168" formatCode="0.00%_)"/>
    <numFmt numFmtId="169" formatCode="#_)"/>
    <numFmt numFmtId="170" formatCode="[&lt;=9999999]###\-####;\(###\)\ ###\-####"/>
    <numFmt numFmtId="171" formatCode="_(* #,##0_);_(* \(#,##0\);_(* &quot;-&quot;??_);_(@_)"/>
    <numFmt numFmtId="172" formatCode="mm/dd/yy;@"/>
  </numFmts>
  <fonts count="34" x14ac:knownFonts="1">
    <font>
      <sz val="11"/>
      <color theme="2" tint="-0.749961851863155"/>
      <name val="Aptos Narrow"/>
      <family val="2"/>
      <scheme val="minor"/>
    </font>
    <font>
      <b/>
      <sz val="10"/>
      <name val="Arial"/>
      <family val="2"/>
    </font>
    <font>
      <sz val="10"/>
      <name val="Aptos Narrow"/>
      <family val="2"/>
      <scheme val="minor"/>
    </font>
    <font>
      <sz val="11"/>
      <name val="Aptos Narrow"/>
      <family val="1"/>
      <scheme val="minor"/>
    </font>
    <font>
      <sz val="14"/>
      <color theme="4" tint="-0.24994659260841701"/>
      <name val="Calibri"/>
      <family val="2"/>
    </font>
    <font>
      <b/>
      <sz val="25"/>
      <color theme="0"/>
      <name val="Aptos Display"/>
      <family val="2"/>
      <scheme val="major"/>
    </font>
    <font>
      <sz val="11"/>
      <color theme="2" tint="-0.89996032593768116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5" tint="-0.24994659260841701"/>
      <name val="Aptos Narrow"/>
      <family val="2"/>
      <scheme val="minor"/>
    </font>
    <font>
      <sz val="14"/>
      <color theme="4" tint="-0.24994659260841701"/>
      <name val="Aptos Display"/>
      <family val="2"/>
      <scheme val="major"/>
    </font>
    <font>
      <sz val="12"/>
      <color theme="4" tint="-0.499984740745262"/>
      <name val="Aptos Display"/>
      <family val="2"/>
      <scheme val="major"/>
    </font>
    <font>
      <sz val="11"/>
      <color theme="4" tint="-0.24994659260841701"/>
      <name val="Aptos Narrow"/>
      <family val="2"/>
      <scheme val="minor"/>
    </font>
    <font>
      <sz val="11"/>
      <color theme="1" tint="0.14993743705557422"/>
      <name val="Aptos Narrow"/>
      <family val="2"/>
      <scheme val="minor"/>
    </font>
    <font>
      <sz val="11"/>
      <color theme="2" tint="-0.89989928891872917"/>
      <name val="Aptos Narrow"/>
      <family val="2"/>
      <scheme val="minor"/>
    </font>
    <font>
      <sz val="11"/>
      <color theme="4" tint="-0.24994659260841701"/>
      <name val="Aptos Display"/>
      <family val="2"/>
      <scheme val="major"/>
    </font>
    <font>
      <sz val="11"/>
      <color theme="2" tint="-0.749992370372631"/>
      <name val="Aptos Narrow"/>
      <family val="2"/>
      <scheme val="minor"/>
    </font>
    <font>
      <sz val="11"/>
      <color theme="4" tint="-0.499984740745262"/>
      <name val="Aptos Display"/>
      <family val="2"/>
      <scheme val="major"/>
    </font>
    <font>
      <sz val="11"/>
      <color theme="4" tint="-0.499984740745262"/>
      <name val="Aptos Narrow"/>
      <family val="2"/>
      <scheme val="minor"/>
    </font>
    <font>
      <sz val="11"/>
      <color theme="2" tint="-0.749961851863155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2" tint="-0.749961851863155"/>
      <name val="Aptos Narrow"/>
      <family val="2"/>
      <scheme val="minor"/>
    </font>
    <font>
      <b/>
      <sz val="11"/>
      <color theme="2" tint="-0.749961851863155"/>
      <name val="Aptos Narrow"/>
      <family val="2"/>
      <scheme val="minor"/>
    </font>
    <font>
      <sz val="11"/>
      <color theme="3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4" tint="-0.24994659260841701"/>
      <name val="Aptos Display"/>
      <family val="2"/>
      <scheme val="major"/>
    </font>
    <font>
      <b/>
      <sz val="24"/>
      <color theme="0"/>
      <name val="Aptos Display"/>
      <family val="2"/>
      <scheme val="major"/>
    </font>
    <font>
      <b/>
      <i/>
      <u/>
      <sz val="24"/>
      <color theme="4" tint="-0.249977111117893"/>
      <name val="Aptos Display"/>
      <family val="2"/>
      <scheme val="major"/>
    </font>
    <font>
      <sz val="24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2" tint="-0.749992370372631"/>
      <name val="Aptos Narrow"/>
      <family val="2"/>
      <scheme val="minor"/>
    </font>
    <font>
      <sz val="14"/>
      <color theme="2" tint="-0.749992370372631"/>
      <name val="Aptos Narrow"/>
      <family val="2"/>
      <scheme val="minor"/>
    </font>
    <font>
      <b/>
      <sz val="12"/>
      <color theme="2" tint="-0.749961851863155"/>
      <name val="Aptos Narrow"/>
      <family val="2"/>
      <scheme val="minor"/>
    </font>
    <font>
      <b/>
      <u/>
      <sz val="24"/>
      <color theme="2" tint="-0.749961851863155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35">
    <border>
      <left/>
      <right/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2" tint="-0.499984740745262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2" tint="-0.499984740745262"/>
      </right>
      <top/>
      <bottom/>
      <diagonal/>
    </border>
    <border>
      <left style="thin">
        <color theme="4"/>
      </left>
      <right style="thin">
        <color theme="4"/>
      </right>
      <top style="double">
        <color theme="4"/>
      </top>
      <bottom style="thin">
        <color theme="4"/>
      </bottom>
      <diagonal/>
    </border>
    <border>
      <left/>
      <right/>
      <top/>
      <bottom style="thick">
        <color theme="4" tint="0.59996337778862885"/>
      </bottom>
      <diagonal/>
    </border>
    <border>
      <left/>
      <right/>
      <top/>
      <bottom style="double">
        <color indexed="64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/>
      <bottom/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theme="4"/>
      </bottom>
      <diagonal/>
    </border>
    <border>
      <left style="thin">
        <color auto="1"/>
      </left>
      <right/>
      <top style="thin">
        <color theme="4"/>
      </top>
      <bottom/>
      <diagonal/>
    </border>
    <border>
      <left/>
      <right style="thin">
        <color auto="1"/>
      </right>
      <top style="thin">
        <color theme="4"/>
      </top>
      <bottom/>
      <diagonal/>
    </border>
    <border>
      <left style="thin">
        <color theme="4"/>
      </left>
      <right style="thin">
        <color auto="1"/>
      </right>
      <top style="thin">
        <color theme="4"/>
      </top>
      <bottom/>
      <diagonal/>
    </border>
    <border>
      <left style="thin">
        <color theme="4"/>
      </left>
      <right style="thin">
        <color auto="1"/>
      </right>
      <top/>
      <bottom/>
      <diagonal/>
    </border>
    <border>
      <left style="thin">
        <color theme="4"/>
      </left>
      <right style="thin">
        <color auto="1"/>
      </right>
      <top/>
      <bottom style="thin">
        <color theme="4"/>
      </bottom>
      <diagonal/>
    </border>
    <border>
      <left style="thin">
        <color theme="4"/>
      </left>
      <right style="thin">
        <color auto="1"/>
      </right>
      <top style="thin">
        <color theme="4"/>
      </top>
      <bottom style="thin">
        <color theme="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4"/>
      </right>
      <top/>
      <bottom style="thin">
        <color auto="1"/>
      </bottom>
      <diagonal/>
    </border>
    <border>
      <left style="thin">
        <color theme="4"/>
      </left>
      <right style="thin">
        <color theme="4"/>
      </right>
      <top style="double">
        <color theme="4"/>
      </top>
      <bottom style="thin">
        <color auto="1"/>
      </bottom>
      <diagonal/>
    </border>
    <border>
      <left style="thin">
        <color theme="4"/>
      </left>
      <right style="thin">
        <color auto="1"/>
      </right>
      <top style="double">
        <color theme="4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theme="4"/>
      </top>
      <bottom style="medium">
        <color auto="1"/>
      </bottom>
      <diagonal/>
    </border>
    <border>
      <left style="thin">
        <color theme="4"/>
      </left>
      <right/>
      <top style="thin">
        <color theme="4"/>
      </top>
      <bottom style="medium">
        <color auto="1"/>
      </bottom>
      <diagonal/>
    </border>
    <border>
      <left/>
      <right/>
      <top style="thin">
        <color theme="4"/>
      </top>
      <bottom style="medium">
        <color auto="1"/>
      </bottom>
      <diagonal/>
    </border>
    <border>
      <left/>
      <right style="thin">
        <color theme="4"/>
      </right>
      <top style="thin">
        <color theme="4"/>
      </top>
      <bottom style="medium">
        <color auto="1"/>
      </bottom>
      <diagonal/>
    </border>
    <border>
      <left style="thin">
        <color theme="4"/>
      </left>
      <right style="thin">
        <color auto="1"/>
      </right>
      <top style="thin">
        <color theme="4"/>
      </top>
      <bottom style="medium">
        <color auto="1"/>
      </bottom>
      <diagonal/>
    </border>
  </borders>
  <cellStyleXfs count="14">
    <xf numFmtId="0" fontId="0" fillId="0" borderId="0" applyNumberFormat="0" applyFill="0" applyBorder="0">
      <alignment vertical="top" wrapText="1"/>
    </xf>
    <xf numFmtId="0" fontId="12" fillId="0" borderId="0" applyNumberFormat="0" applyFill="0" applyBorder="0" applyAlignment="0" applyProtection="0"/>
    <xf numFmtId="0" fontId="10" fillId="0" borderId="0" applyNumberFormat="0" applyFill="0" applyBorder="0" applyProtection="0">
      <alignment vertical="center"/>
    </xf>
    <xf numFmtId="0" fontId="4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top" wrapText="1"/>
    </xf>
    <xf numFmtId="0" fontId="5" fillId="5" borderId="6" applyNumberFormat="0" applyAlignment="0" applyProtection="0"/>
    <xf numFmtId="0" fontId="6" fillId="4" borderId="0" applyNumberFormat="0" applyBorder="0" applyAlignment="0" applyProtection="0"/>
    <xf numFmtId="0" fontId="9" fillId="0" borderId="0" applyFill="0" applyBorder="0" applyProtection="0">
      <alignment horizontal="left" vertical="center"/>
    </xf>
    <xf numFmtId="0" fontId="8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7" fillId="0" borderId="5" applyNumberFormat="0" applyAlignment="0" applyProtection="0"/>
    <xf numFmtId="0" fontId="14" fillId="0" borderId="0" applyFill="0" applyBorder="0" applyProtection="0">
      <alignment horizontal="left" vertical="center"/>
    </xf>
    <xf numFmtId="43" fontId="18" fillId="0" borderId="0" applyFont="0" applyFill="0" applyBorder="0" applyAlignment="0" applyProtection="0"/>
    <xf numFmtId="44" fontId="18" fillId="0" borderId="0" applyFont="0" applyFill="0" applyBorder="0" applyAlignment="0" applyProtection="0"/>
  </cellStyleXfs>
  <cellXfs count="135">
    <xf numFmtId="0" fontId="0" fillId="0" borderId="0" xfId="0">
      <alignment vertical="top" wrapText="1"/>
    </xf>
    <xf numFmtId="165" fontId="0" fillId="0" borderId="0" xfId="0" applyNumberFormat="1">
      <alignment vertical="top" wrapText="1"/>
    </xf>
    <xf numFmtId="0" fontId="10" fillId="0" borderId="0" xfId="2" applyProtection="1">
      <alignment vertical="center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0" fillId="0" borderId="0" xfId="0" applyNumberFormat="1" applyFill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Alignment="1">
      <alignment wrapText="1"/>
    </xf>
    <xf numFmtId="0" fontId="3" fillId="0" borderId="0" xfId="0" applyNumberFormat="1" applyFont="1" applyAlignment="1">
      <alignment vertical="center"/>
    </xf>
    <xf numFmtId="0" fontId="0" fillId="0" borderId="0" xfId="0" applyNumberFormat="1">
      <alignment vertical="top" wrapText="1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66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  <xf numFmtId="0" fontId="14" fillId="0" borderId="0" xfId="11" applyFill="1" applyBorder="1" applyProtection="1">
      <alignment horizontal="left" vertical="center"/>
    </xf>
    <xf numFmtId="0" fontId="0" fillId="0" borderId="0" xfId="0" applyNumberFormat="1" applyFill="1" applyBorder="1" applyAlignment="1">
      <alignment horizontal="left" vertical="center" wrapText="1"/>
    </xf>
    <xf numFmtId="0" fontId="0" fillId="0" borderId="0" xfId="0" applyNumberFormat="1" applyFill="1" applyBorder="1" applyAlignment="1">
      <alignment vertical="center" wrapText="1"/>
    </xf>
    <xf numFmtId="165" fontId="0" fillId="0" borderId="0" xfId="0" applyNumberFormat="1" applyFill="1" applyBorder="1" applyAlignment="1">
      <alignment vertical="center" wrapText="1"/>
    </xf>
    <xf numFmtId="0" fontId="0" fillId="0" borderId="0" xfId="0" applyNumberFormat="1" applyFill="1" applyBorder="1" applyAlignment="1">
      <alignment vertical="center"/>
    </xf>
    <xf numFmtId="170" fontId="0" fillId="0" borderId="0" xfId="0" applyNumberFormat="1" applyFill="1" applyBorder="1" applyAlignment="1">
      <alignment vertical="center"/>
    </xf>
    <xf numFmtId="49" fontId="0" fillId="0" borderId="0" xfId="0" applyNumberFormat="1" applyFill="1" applyBorder="1" applyAlignment="1">
      <alignment vertical="center" wrapText="1"/>
    </xf>
    <xf numFmtId="41" fontId="0" fillId="0" borderId="0" xfId="0" applyNumberFormat="1" applyFill="1" applyBorder="1" applyAlignment="1">
      <alignment vertical="center" wrapText="1"/>
    </xf>
    <xf numFmtId="0" fontId="14" fillId="0" borderId="0" xfId="11" applyFill="1" applyBorder="1">
      <alignment horizontal="left" vertical="center"/>
    </xf>
    <xf numFmtId="0" fontId="2" fillId="0" borderId="0" xfId="0" applyFont="1" applyAlignment="1"/>
    <xf numFmtId="0" fontId="2" fillId="0" borderId="0" xfId="0" applyFont="1" applyAlignment="1">
      <alignment vertical="top"/>
    </xf>
    <xf numFmtId="14" fontId="15" fillId="0" borderId="0" xfId="0" applyNumberFormat="1" applyFont="1" applyAlignment="1">
      <alignment horizontal="left" wrapText="1"/>
    </xf>
    <xf numFmtId="0" fontId="16" fillId="0" borderId="0" xfId="0" applyFont="1" applyAlignment="1">
      <alignment horizontal="left"/>
    </xf>
    <xf numFmtId="14" fontId="0" fillId="0" borderId="0" xfId="0" applyNumberFormat="1" applyFill="1" applyBorder="1" applyAlignment="1">
      <alignment horizontal="left" vertical="center"/>
    </xf>
    <xf numFmtId="171" fontId="0" fillId="0" borderId="0" xfId="12" applyNumberFormat="1" applyFont="1" applyFill="1" applyBorder="1" applyAlignment="1" applyProtection="1">
      <alignment horizontal="left" vertical="center"/>
    </xf>
    <xf numFmtId="171" fontId="0" fillId="0" borderId="0" xfId="12" quotePrefix="1" applyNumberFormat="1" applyFont="1" applyFill="1" applyBorder="1" applyAlignment="1" applyProtection="1">
      <alignment horizontal="left" vertical="center"/>
    </xf>
    <xf numFmtId="43" fontId="0" fillId="0" borderId="0" xfId="12" applyFont="1" applyFill="1" applyBorder="1" applyAlignment="1" applyProtection="1">
      <alignment vertical="center" wrapText="1"/>
    </xf>
    <xf numFmtId="44" fontId="0" fillId="0" borderId="0" xfId="13" applyFont="1" applyFill="1" applyBorder="1" applyAlignment="1" applyProtection="1">
      <alignment vertical="center"/>
    </xf>
    <xf numFmtId="0" fontId="14" fillId="0" borderId="0" xfId="11" applyFill="1" applyBorder="1" applyAlignment="1" applyProtection="1">
      <alignment horizontal="left" vertical="center" wrapText="1"/>
    </xf>
    <xf numFmtId="49" fontId="12" fillId="0" borderId="0" xfId="1" applyNumberFormat="1" applyFill="1" applyBorder="1" applyAlignment="1">
      <alignment vertical="center" wrapText="1"/>
    </xf>
    <xf numFmtId="0" fontId="0" fillId="0" borderId="0" xfId="0" quotePrefix="1" applyNumberFormat="1" applyFill="1" applyBorder="1" applyAlignment="1">
      <alignment horizontal="left" vertical="center"/>
    </xf>
    <xf numFmtId="0" fontId="0" fillId="0" borderId="0" xfId="0" quotePrefix="1">
      <alignment vertical="top" wrapText="1"/>
    </xf>
    <xf numFmtId="0" fontId="0" fillId="0" borderId="0" xfId="0" applyAlignment="1">
      <alignment vertical="center" wrapText="1"/>
    </xf>
    <xf numFmtId="43" fontId="0" fillId="0" borderId="0" xfId="0" applyNumberFormat="1" applyAlignment="1">
      <alignment vertical="center" wrapText="1"/>
    </xf>
    <xf numFmtId="0" fontId="0" fillId="0" borderId="0" xfId="0" applyNumberFormat="1" applyFill="1" applyAlignment="1">
      <alignment horizontal="left" vertical="center"/>
    </xf>
    <xf numFmtId="43" fontId="0" fillId="0" borderId="0" xfId="0" applyNumberFormat="1" applyFill="1" applyBorder="1" applyAlignment="1">
      <alignment vertical="center" wrapText="1"/>
    </xf>
    <xf numFmtId="49" fontId="0" fillId="0" borderId="0" xfId="0" applyNumberFormat="1" applyFill="1" applyBorder="1" applyAlignment="1">
      <alignment horizontal="center" vertical="center" wrapText="1"/>
    </xf>
    <xf numFmtId="43" fontId="0" fillId="0" borderId="0" xfId="12" applyFont="1" applyFill="1" applyBorder="1" applyAlignment="1" applyProtection="1">
      <alignment horizontal="center" vertical="center" wrapText="1"/>
    </xf>
    <xf numFmtId="171" fontId="0" fillId="0" borderId="0" xfId="12" applyNumberFormat="1" applyFont="1" applyFill="1" applyBorder="1" applyAlignment="1" applyProtection="1">
      <alignment vertical="center"/>
    </xf>
    <xf numFmtId="0" fontId="0" fillId="0" borderId="0" xfId="0" applyNumberFormat="1" applyFill="1" applyBorder="1" applyAlignment="1">
      <alignment horizontal="center" vertical="center" wrapText="1"/>
    </xf>
    <xf numFmtId="44" fontId="0" fillId="0" borderId="0" xfId="13" applyFont="1" applyAlignment="1">
      <alignment vertical="top" wrapText="1"/>
    </xf>
    <xf numFmtId="14" fontId="0" fillId="0" borderId="0" xfId="0" applyNumberFormat="1">
      <alignment vertical="top" wrapText="1"/>
    </xf>
    <xf numFmtId="44" fontId="0" fillId="0" borderId="0" xfId="0" applyNumberFormat="1">
      <alignment vertical="top" wrapText="1"/>
    </xf>
    <xf numFmtId="43" fontId="2" fillId="0" borderId="0" xfId="0" applyNumberFormat="1" applyFont="1" applyAlignment="1">
      <alignment vertical="center"/>
    </xf>
    <xf numFmtId="0" fontId="20" fillId="0" borderId="0" xfId="0" applyFont="1">
      <alignment vertical="top" wrapText="1"/>
    </xf>
    <xf numFmtId="0" fontId="16" fillId="0" borderId="2" xfId="2" applyFont="1" applyBorder="1" applyAlignment="1" applyProtection="1">
      <alignment horizontal="left" vertical="center"/>
    </xf>
    <xf numFmtId="0" fontId="17" fillId="0" borderId="2" xfId="0" applyFont="1" applyBorder="1" applyAlignment="1">
      <alignment horizontal="left" vertical="center"/>
    </xf>
    <xf numFmtId="14" fontId="2" fillId="0" borderId="0" xfId="0" applyNumberFormat="1" applyFont="1" applyAlignment="1">
      <alignment vertical="center"/>
    </xf>
    <xf numFmtId="14" fontId="2" fillId="0" borderId="0" xfId="0" applyNumberFormat="1" applyFont="1">
      <alignment vertical="top" wrapText="1"/>
    </xf>
    <xf numFmtId="0" fontId="24" fillId="0" borderId="0" xfId="0" applyFont="1" applyAlignment="1">
      <alignment vertical="center"/>
    </xf>
    <xf numFmtId="0" fontId="28" fillId="0" borderId="0" xfId="0" applyFont="1">
      <alignment vertical="top" wrapText="1"/>
    </xf>
    <xf numFmtId="0" fontId="29" fillId="0" borderId="0" xfId="0" applyFont="1" applyAlignment="1"/>
    <xf numFmtId="0" fontId="29" fillId="0" borderId="0" xfId="0" applyFont="1" applyAlignment="1">
      <alignment wrapText="1"/>
    </xf>
    <xf numFmtId="169" fontId="22" fillId="2" borderId="8" xfId="0" applyNumberFormat="1" applyFont="1" applyFill="1" applyBorder="1" applyAlignment="1">
      <alignment horizontal="left" vertical="center"/>
    </xf>
    <xf numFmtId="169" fontId="22" fillId="2" borderId="10" xfId="0" applyNumberFormat="1" applyFont="1" applyFill="1" applyBorder="1" applyAlignment="1">
      <alignment horizontal="left" vertical="center"/>
    </xf>
    <xf numFmtId="167" fontId="22" fillId="2" borderId="8" xfId="0" applyNumberFormat="1" applyFont="1" applyFill="1" applyBorder="1" applyAlignment="1">
      <alignment horizontal="center" vertical="center"/>
    </xf>
    <xf numFmtId="167" fontId="22" fillId="2" borderId="10" xfId="0" applyNumberFormat="1" applyFont="1" applyFill="1" applyBorder="1" applyAlignment="1">
      <alignment horizontal="center" vertical="center"/>
    </xf>
    <xf numFmtId="0" fontId="25" fillId="0" borderId="9" xfId="7" applyFont="1" applyBorder="1" applyAlignment="1">
      <alignment horizontal="center" vertical="center"/>
    </xf>
    <xf numFmtId="43" fontId="22" fillId="2" borderId="10" xfId="0" applyNumberFormat="1" applyFont="1" applyFill="1" applyBorder="1" applyAlignment="1">
      <alignment vertical="center"/>
    </xf>
    <xf numFmtId="43" fontId="22" fillId="2" borderId="8" xfId="0" applyNumberFormat="1" applyFont="1" applyFill="1" applyBorder="1" applyAlignment="1">
      <alignment vertical="center"/>
    </xf>
    <xf numFmtId="44" fontId="22" fillId="2" borderId="8" xfId="0" applyNumberFormat="1" applyFont="1" applyFill="1" applyBorder="1" applyAlignment="1">
      <alignment vertical="center"/>
    </xf>
    <xf numFmtId="164" fontId="0" fillId="0" borderId="1" xfId="0" applyNumberFormat="1" applyFill="1" applyBorder="1" applyAlignment="1">
      <alignment horizontal="right" vertical="center" wrapText="1"/>
    </xf>
    <xf numFmtId="0" fontId="21" fillId="0" borderId="7" xfId="0" applyFont="1" applyBorder="1" applyAlignment="1">
      <alignment vertical="center" wrapText="1"/>
    </xf>
    <xf numFmtId="0" fontId="21" fillId="0" borderId="7" xfId="0" applyFont="1" applyBorder="1" applyAlignment="1">
      <alignment horizontal="center" vertical="center" wrapText="1"/>
    </xf>
    <xf numFmtId="0" fontId="32" fillId="0" borderId="7" xfId="0" applyFont="1" applyBorder="1" applyAlignment="1">
      <alignment horizontal="center" vertical="center" wrapText="1"/>
    </xf>
    <xf numFmtId="14" fontId="0" fillId="0" borderId="0" xfId="0" applyNumberFormat="1" applyAlignment="1">
      <alignment horizontal="center" vertical="top" wrapText="1"/>
    </xf>
    <xf numFmtId="0" fontId="0" fillId="0" borderId="0" xfId="0" applyAlignment="1">
      <alignment horizontal="right" wrapText="1"/>
    </xf>
    <xf numFmtId="44" fontId="0" fillId="0" borderId="0" xfId="13" applyFont="1" applyAlignment="1">
      <alignment wrapText="1"/>
    </xf>
    <xf numFmtId="43" fontId="0" fillId="0" borderId="0" xfId="12" applyFont="1" applyAlignment="1">
      <alignment wrapText="1"/>
    </xf>
    <xf numFmtId="0" fontId="16" fillId="0" borderId="12" xfId="0" applyFont="1" applyBorder="1" applyAlignment="1">
      <alignment horizontal="left"/>
    </xf>
    <xf numFmtId="0" fontId="29" fillId="0" borderId="0" xfId="0" applyFont="1" applyBorder="1" applyAlignment="1">
      <alignment wrapText="1"/>
    </xf>
    <xf numFmtId="0" fontId="16" fillId="0" borderId="0" xfId="0" applyFont="1" applyBorder="1" applyAlignment="1">
      <alignment horizontal="right"/>
    </xf>
    <xf numFmtId="0" fontId="31" fillId="0" borderId="13" xfId="0" applyNumberFormat="1" applyFont="1" applyBorder="1" applyAlignment="1" applyProtection="1">
      <alignment horizontal="center" wrapText="1"/>
      <protection locked="0"/>
    </xf>
    <xf numFmtId="14" fontId="30" fillId="0" borderId="13" xfId="0" applyNumberFormat="1" applyFont="1" applyBorder="1" applyAlignment="1">
      <alignment horizontal="center" wrapText="1"/>
    </xf>
    <xf numFmtId="0" fontId="17" fillId="0" borderId="12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2" fillId="0" borderId="13" xfId="0" applyFont="1" applyBorder="1" applyAlignment="1">
      <alignment wrapText="1"/>
    </xf>
    <xf numFmtId="0" fontId="29" fillId="0" borderId="12" xfId="0" applyFont="1" applyBorder="1" applyAlignment="1">
      <alignment wrapText="1"/>
    </xf>
    <xf numFmtId="0" fontId="16" fillId="0" borderId="0" xfId="0" applyFont="1" applyBorder="1" applyAlignment="1">
      <alignment horizontal="left"/>
    </xf>
    <xf numFmtId="0" fontId="29" fillId="0" borderId="12" xfId="0" applyFont="1" applyBorder="1" applyAlignment="1">
      <alignment vertical="center" wrapText="1"/>
    </xf>
    <xf numFmtId="14" fontId="17" fillId="0" borderId="14" xfId="0" applyNumberFormat="1" applyFont="1" applyBorder="1" applyAlignment="1">
      <alignment horizontal="left" vertical="center"/>
    </xf>
    <xf numFmtId="0" fontId="25" fillId="0" borderId="15" xfId="7" applyFont="1" applyBorder="1" applyAlignment="1">
      <alignment horizontal="center" vertical="center"/>
    </xf>
    <xf numFmtId="0" fontId="25" fillId="0" borderId="16" xfId="7" applyFont="1" applyBorder="1" applyAlignment="1">
      <alignment horizontal="center" vertical="center"/>
    </xf>
    <xf numFmtId="172" fontId="22" fillId="2" borderId="15" xfId="0" applyNumberFormat="1" applyFont="1" applyFill="1" applyBorder="1" applyAlignment="1">
      <alignment horizontal="left" vertical="center"/>
    </xf>
    <xf numFmtId="44" fontId="23" fillId="7" borderId="17" xfId="0" applyNumberFormat="1" applyFont="1" applyFill="1" applyBorder="1" applyAlignment="1">
      <alignment vertical="center"/>
    </xf>
    <xf numFmtId="43" fontId="23" fillId="0" borderId="17" xfId="0" applyNumberFormat="1" applyFont="1" applyBorder="1" applyAlignment="1">
      <alignment vertical="center"/>
    </xf>
    <xf numFmtId="172" fontId="22" fillId="2" borderId="12" xfId="0" applyNumberFormat="1" applyFont="1" applyFill="1" applyBorder="1" applyAlignment="1">
      <alignment horizontal="left" vertical="center"/>
    </xf>
    <xf numFmtId="43" fontId="23" fillId="0" borderId="18" xfId="0" applyNumberFormat="1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44" fontId="0" fillId="0" borderId="19" xfId="0" applyNumberFormat="1" applyFill="1" applyBorder="1" applyAlignment="1">
      <alignment vertical="center" wrapText="1"/>
    </xf>
    <xf numFmtId="168" fontId="0" fillId="0" borderId="20" xfId="0" applyNumberFormat="1" applyFill="1" applyBorder="1" applyAlignment="1">
      <alignment vertical="center" wrapText="1"/>
    </xf>
    <xf numFmtId="43" fontId="0" fillId="0" borderId="20" xfId="0" applyNumberFormat="1" applyFill="1" applyBorder="1" applyAlignment="1">
      <alignment vertical="center" wrapText="1"/>
    </xf>
    <xf numFmtId="0" fontId="2" fillId="0" borderId="0" xfId="0" applyFont="1" applyBorder="1" applyAlignment="1">
      <alignment horizontal="left" indent="7"/>
    </xf>
    <xf numFmtId="164" fontId="7" fillId="3" borderId="24" xfId="10" applyNumberFormat="1" applyFill="1" applyBorder="1" applyAlignment="1" applyProtection="1">
      <alignment horizontal="right" vertical="center"/>
    </xf>
    <xf numFmtId="44" fontId="7" fillId="3" borderId="25" xfId="10" applyNumberFormat="1" applyFill="1" applyBorder="1" applyAlignment="1" applyProtection="1">
      <alignment vertical="center"/>
    </xf>
    <xf numFmtId="0" fontId="27" fillId="0" borderId="27" xfId="5" applyFont="1" applyFill="1" applyBorder="1" applyAlignment="1" applyProtection="1">
      <alignment horizontal="left" vertical="top" indent="2"/>
    </xf>
    <xf numFmtId="0" fontId="26" fillId="0" borderId="26" xfId="5" applyFont="1" applyFill="1" applyBorder="1" applyAlignment="1" applyProtection="1">
      <alignment horizontal="left" vertical="center" indent="2"/>
    </xf>
    <xf numFmtId="0" fontId="26" fillId="0" borderId="26" xfId="5" applyFont="1" applyFill="1" applyBorder="1" applyAlignment="1" applyProtection="1">
      <alignment vertical="center"/>
    </xf>
    <xf numFmtId="0" fontId="26" fillId="0" borderId="28" xfId="5" applyFont="1" applyFill="1" applyBorder="1" applyAlignment="1" applyProtection="1">
      <alignment vertical="top" wrapText="1"/>
    </xf>
    <xf numFmtId="172" fontId="22" fillId="2" borderId="30" xfId="0" applyNumberFormat="1" applyFont="1" applyFill="1" applyBorder="1" applyAlignment="1">
      <alignment horizontal="left" vertical="center"/>
    </xf>
    <xf numFmtId="167" fontId="22" fillId="2" borderId="31" xfId="0" applyNumberFormat="1" applyFont="1" applyFill="1" applyBorder="1" applyAlignment="1">
      <alignment horizontal="center" vertical="center"/>
    </xf>
    <xf numFmtId="43" fontId="23" fillId="0" borderId="34" xfId="0" applyNumberFormat="1" applyFont="1" applyBorder="1" applyAlignment="1">
      <alignment vertical="center"/>
    </xf>
    <xf numFmtId="43" fontId="22" fillId="0" borderId="1" xfId="0" applyNumberFormat="1" applyFont="1" applyBorder="1" applyAlignment="1">
      <alignment vertical="center" wrapText="1"/>
    </xf>
    <xf numFmtId="43" fontId="22" fillId="0" borderId="0" xfId="0" applyNumberFormat="1" applyFont="1" applyBorder="1" applyAlignment="1">
      <alignment vertical="center" wrapText="1"/>
    </xf>
    <xf numFmtId="43" fontId="22" fillId="0" borderId="1" xfId="0" applyNumberFormat="1" applyFont="1" applyFill="1" applyBorder="1" applyAlignment="1">
      <alignment vertical="center" wrapText="1"/>
    </xf>
    <xf numFmtId="164" fontId="0" fillId="0" borderId="3" xfId="0" applyNumberFormat="1" applyFill="1" applyBorder="1" applyAlignment="1">
      <alignment horizontal="right" vertical="center"/>
    </xf>
    <xf numFmtId="164" fontId="0" fillId="0" borderId="11" xfId="0" applyNumberFormat="1" applyFill="1" applyBorder="1" applyAlignment="1">
      <alignment horizontal="right" vertical="center"/>
    </xf>
    <xf numFmtId="0" fontId="6" fillId="4" borderId="27" xfId="6" applyBorder="1" applyAlignment="1">
      <alignment horizontal="left" wrapText="1"/>
    </xf>
    <xf numFmtId="0" fontId="6" fillId="4" borderId="26" xfId="6" applyBorder="1" applyAlignment="1">
      <alignment horizontal="left" wrapText="1"/>
    </xf>
    <xf numFmtId="0" fontId="6" fillId="4" borderId="21" xfId="6" applyBorder="1" applyAlignment="1">
      <alignment horizontal="left" vertical="top" wrapText="1"/>
    </xf>
    <xf numFmtId="0" fontId="6" fillId="4" borderId="22" xfId="6" applyBorder="1" applyAlignment="1">
      <alignment horizontal="left" vertical="top" wrapText="1"/>
    </xf>
    <xf numFmtId="0" fontId="12" fillId="4" borderId="22" xfId="1" applyFill="1" applyBorder="1" applyAlignment="1">
      <alignment horizontal="right" vertical="top" wrapText="1"/>
    </xf>
    <xf numFmtId="0" fontId="12" fillId="4" borderId="29" xfId="1" applyFill="1" applyBorder="1" applyAlignment="1">
      <alignment horizontal="right" vertical="top" wrapText="1"/>
    </xf>
    <xf numFmtId="0" fontId="6" fillId="4" borderId="26" xfId="6" applyBorder="1" applyAlignment="1">
      <alignment horizontal="right" wrapText="1"/>
    </xf>
    <xf numFmtId="0" fontId="6" fillId="4" borderId="28" xfId="6" applyBorder="1" applyAlignment="1">
      <alignment horizontal="right" wrapText="1"/>
    </xf>
    <xf numFmtId="0" fontId="13" fillId="6" borderId="21" xfId="9" applyFill="1" applyBorder="1" applyAlignment="1">
      <alignment horizontal="left" vertical="top" wrapText="1" indent="1"/>
    </xf>
    <xf numFmtId="0" fontId="13" fillId="6" borderId="22" xfId="9" applyFill="1" applyBorder="1" applyAlignment="1">
      <alignment horizontal="left" vertical="top" wrapText="1" indent="1"/>
    </xf>
    <xf numFmtId="0" fontId="13" fillId="6" borderId="23" xfId="9" applyFill="1" applyBorder="1" applyAlignment="1">
      <alignment horizontal="left" vertical="top" wrapText="1" indent="1"/>
    </xf>
    <xf numFmtId="0" fontId="13" fillId="0" borderId="12" xfId="9" applyFill="1" applyBorder="1" applyAlignment="1" applyProtection="1">
      <alignment horizontal="left" indent="1"/>
    </xf>
    <xf numFmtId="0" fontId="13" fillId="0" borderId="0" xfId="9" applyFill="1" applyBorder="1" applyAlignment="1" applyProtection="1">
      <alignment horizontal="left" indent="1"/>
    </xf>
    <xf numFmtId="0" fontId="13" fillId="0" borderId="4" xfId="9" applyFill="1" applyBorder="1" applyAlignment="1" applyProtection="1">
      <alignment horizontal="left" indent="1"/>
    </xf>
    <xf numFmtId="0" fontId="16" fillId="0" borderId="0" xfId="0" applyFont="1" applyBorder="1" applyAlignment="1">
      <alignment horizontal="left"/>
    </xf>
    <xf numFmtId="0" fontId="12" fillId="0" borderId="0" xfId="1" applyBorder="1" applyAlignment="1">
      <alignment horizontal="left" vertical="center"/>
    </xf>
    <xf numFmtId="0" fontId="16" fillId="0" borderId="0" xfId="0" applyFont="1" applyBorder="1" applyAlignment="1">
      <alignment horizontal="left" vertical="center"/>
    </xf>
    <xf numFmtId="0" fontId="30" fillId="0" borderId="0" xfId="0" applyFont="1" applyBorder="1" applyAlignment="1">
      <alignment horizontal="left" wrapText="1"/>
    </xf>
    <xf numFmtId="0" fontId="15" fillId="0" borderId="0" xfId="0" applyFont="1" applyBorder="1" applyAlignment="1">
      <alignment horizontal="left" wrapText="1"/>
    </xf>
    <xf numFmtId="43" fontId="22" fillId="2" borderId="31" xfId="0" applyNumberFormat="1" applyFont="1" applyFill="1" applyBorder="1" applyAlignment="1">
      <alignment horizontal="right" vertical="center"/>
    </xf>
    <xf numFmtId="43" fontId="22" fillId="2" borderId="32" xfId="0" applyNumberFormat="1" applyFont="1" applyFill="1" applyBorder="1" applyAlignment="1">
      <alignment horizontal="right" vertical="center"/>
    </xf>
    <xf numFmtId="43" fontId="22" fillId="2" borderId="33" xfId="0" applyNumberFormat="1" applyFont="1" applyFill="1" applyBorder="1" applyAlignment="1">
      <alignment horizontal="right" vertical="center"/>
    </xf>
    <xf numFmtId="0" fontId="33" fillId="0" borderId="0" xfId="0" applyFont="1" applyAlignment="1">
      <alignment horizontal="center" vertical="center" wrapText="1"/>
    </xf>
  </cellXfs>
  <cellStyles count="14">
    <cellStyle name="60% - Accent1" xfId="6" builtinId="32" customBuiltin="1"/>
    <cellStyle name="Comma" xfId="12" builtinId="3"/>
    <cellStyle name="Currency" xfId="13" builtinId="4"/>
    <cellStyle name="Explanatory Text" xfId="9" builtinId="53" customBuiltin="1"/>
    <cellStyle name="Followed Hyperlink" xfId="4" builtinId="9" customBuiltin="1"/>
    <cellStyle name="Heading 1" xfId="2" builtinId="16" customBuiltin="1"/>
    <cellStyle name="Heading 2" xfId="3" builtinId="17" customBuiltin="1"/>
    <cellStyle name="Heading 3" xfId="7" builtinId="18" customBuiltin="1"/>
    <cellStyle name="Heading 4" xfId="11" builtinId="19" customBuiltin="1"/>
    <cellStyle name="Hyperlink" xfId="1" builtinId="8" customBuiltin="1"/>
    <cellStyle name="Normal" xfId="0" builtinId="0" customBuiltin="1"/>
    <cellStyle name="Title" xfId="5" builtinId="15" customBuiltin="1"/>
    <cellStyle name="Total" xfId="10" builtinId="25" customBuiltin="1"/>
    <cellStyle name="Warning Text" xfId="8" builtinId="11" customBuiltin="1"/>
  </cellStyles>
  <dxfs count="100">
    <dxf>
      <font>
        <color rgb="FFFF0000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numFmt numFmtId="19" formatCode="m/d/yyyy"/>
      <alignment horizontal="center" vertical="top" textRotation="0" wrapText="1" indent="0" justifyLastLine="0" shrinkToFit="0" readingOrder="0"/>
    </dxf>
    <dxf>
      <border outline="0">
        <bottom style="double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2" tint="-0.749961851863155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35" formatCode="_(* #,##0.00_);_(* \(#,##0.00\);_(* &quot;-&quot;??_);_(@_)"/>
      <alignment horizontal="general" vertical="center" textRotation="0" wrapText="1" indent="0" justifyLastLine="0" shrinkToFit="0" readingOrder="0"/>
    </dxf>
    <dxf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1" hidden="0"/>
    </dxf>
    <dxf>
      <numFmt numFmtId="35" formatCode="_(* #,##0.00_);_(* \(#,##0.00\);_(* &quot;-&quot;??_);_(@_)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61851863155"/>
        <name val="Aptos Narrow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1" hidden="0"/>
    </dxf>
    <dxf>
      <numFmt numFmtId="35" formatCode="_(* #,##0.00_);_(* \(#,##0.00\);_(* &quot;-&quot;??_);_(@_)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61851863155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numFmt numFmtId="35" formatCode="_(* #,##0.00_);_(* \(#,##0.00\);_(* &quot;-&quot;??_);_(@_)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61851863155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numFmt numFmtId="35" formatCode="_(* #,##0.00_);_(* \(#,##0.00\);_(* &quot;-&quot;??_);_(@_)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61851863155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numFmt numFmtId="35" formatCode="_(* #,##0.00_);_(* \(#,##0.00\);_(* &quot;-&quot;??_);_(@_)"/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3" formatCode="_(* #,##0_);_(* \(#,##0\);_(* &quot;-&quot;_);_(@_)"/>
      <alignment horizontal="general" vertical="center" textRotation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61851863155"/>
        <name val="Aptos Narrow"/>
        <family val="2"/>
        <scheme val="minor"/>
      </font>
      <numFmt numFmtId="171" formatCode="_(* #,##0_);_(* \(#,##0\);_(* &quot;-&quot;??_);_(@_)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61851863155"/>
        <name val="Aptos Narrow"/>
        <family val="2"/>
        <scheme val="minor"/>
      </font>
      <numFmt numFmtId="171" formatCode="_(* #,##0_);_(* \(#,##0\);_(* &quot;-&quot;??_);_(@_)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61851863155"/>
        <name val="Aptos Narrow"/>
        <family val="2"/>
        <scheme val="minor"/>
      </font>
      <numFmt numFmtId="171" formatCode="_(* #,##0_);_(* \(#,##0\);_(* &quot;-&quot;??_);_(@_)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numFmt numFmtId="35" formatCode="_(* #,##0.00_);_(* \(#,##0.00\);_(* &quot;-&quot;??_);_(@_)"/>
      <alignment horizontal="general" vertical="center" textRotation="0" wrapText="1" indent="0" justifyLastLine="0" shrinkToFit="0" readingOrder="0"/>
    </dxf>
    <dxf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1" hidden="0"/>
    </dxf>
    <dxf>
      <numFmt numFmtId="35" formatCode="_(* #,##0.00_);_(* \(#,##0.00\);_(* &quot;-&quot;??_);_(@_)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61851863155"/>
        <name val="Aptos Narrow"/>
        <family val="2"/>
        <scheme val="minor"/>
      </font>
      <numFmt numFmtId="35" formatCode="_(* #,##0.00_);_(* \(#,##0.00\);_(* &quot;-&quot;??_);_(@_)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protection locked="1" hidden="0"/>
    </dxf>
    <dxf>
      <numFmt numFmtId="35" formatCode="_(* #,##0.00_);_(* \(#,##0.00\);_(* &quot;-&quot;??_);_(@_)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61851863155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numFmt numFmtId="35" formatCode="_(* #,##0.00_);_(* \(#,##0.00\);_(* &quot;-&quot;??_);_(@_)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61851863155"/>
        <name val="Aptos Narrow"/>
        <family val="2"/>
        <scheme val="minor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numFmt numFmtId="35" formatCode="_(* #,##0.00_);_(* \(#,##0.00\);_(* &quot;-&quot;??_);_(@_)"/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61851863155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protection locked="1" hidden="0"/>
    </dxf>
    <dxf>
      <numFmt numFmtId="35" formatCode="_(* #,##0.00_);_(* \(#,##0.00\);_(* &quot;-&quot;??_);_(@_)"/>
      <alignment horizontal="general" vertical="center" textRotation="0" wrapText="1" indent="0" justifyLastLine="0" shrinkToFit="0" readingOrder="0"/>
    </dxf>
    <dxf>
      <alignment horizontal="general" vertical="center" textRotation="0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33" formatCode="_(* #,##0_);_(* \(#,##0\);_(* &quot;-&quot;_);_(@_)"/>
      <alignment horizontal="general" vertical="center" textRotation="0" indent="0" justifyLastLine="0" shrinkToFit="0" readingOrder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61851863155"/>
        <name val="Aptos Narrow"/>
        <family val="2"/>
        <scheme val="minor"/>
      </font>
      <numFmt numFmtId="171" formatCode="_(* #,##0_);_(* \(#,##0\);_(* &quot;-&quot;??_);_(@_)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61851863155"/>
        <name val="Aptos Narrow"/>
        <family val="2"/>
        <scheme val="minor"/>
      </font>
      <numFmt numFmtId="171" formatCode="_(* #,##0_);_(* \(#,##0\);_(* &quot;-&quot;??_);_(@_)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61851863155"/>
        <name val="Aptos Narrow"/>
        <family val="2"/>
        <scheme val="minor"/>
      </font>
      <numFmt numFmtId="171" formatCode="_(* #,##0_);_(* \(#,##0\);_(* &quot;-&quot;??_);_(@_)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protection locked="1" hidden="0"/>
    </dxf>
    <dxf>
      <alignment horizontal="general" vertical="center" textRotation="0" wrapText="1" indent="0" justifyLastLine="0" shrinkToFit="0" readingOrder="0"/>
    </dxf>
    <dxf>
      <alignment vertical="center" textRotation="0" indent="0" justifyLastLine="0" shrinkToFit="0" readingOrder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61851863155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/>
        <bottom/>
      </border>
    </dxf>
    <dxf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61851863155"/>
        <name val="Aptos Narrow"/>
        <family val="2"/>
        <scheme val="minor"/>
      </font>
      <numFmt numFmtId="11" formatCode="&quot;$&quot;#,##0.00_);\(&quot;$&quot;#,##0.00\)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65" formatCode="&quot;$&quot;#,##0.00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61851863155"/>
        <name val="Aptos Narrow"/>
        <family val="2"/>
        <scheme val="minor"/>
      </font>
      <numFmt numFmtId="11" formatCode="&quot;$&quot;#,##0.00_);\(&quot;$&quot;#,##0.00\)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alignment horizontal="general" vertical="center" textRotation="0" indent="0" justifyLastLine="0" shrinkToFit="0" readingOrder="0"/>
    </dxf>
    <dxf>
      <alignment horizontal="general" vertical="center" textRotation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61851863155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alignment horizontal="general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61851863155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61851863155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/>
        <right/>
        <top/>
        <bottom/>
      </border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61851863155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2" tint="-0.749961851863155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71" formatCode="_(* #,##0_);_(* \(#,##0\);_(* &quot;-&quot;??_);_(@_)"/>
      <alignment horizontal="general" vertical="center" textRotation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 tint="4.9989318521683403E-2"/>
        <name val="Aptos Narrow"/>
        <scheme val="minor"/>
      </font>
    </dxf>
    <dxf>
      <alignment horizontal="lef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30" formatCode="@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170" formatCode="[&lt;=9999999]###\-####;\(###\)\ ###\-####"/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 tint="4.9989318521683403E-2"/>
        <name val="Aptos Narrow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/>
        <bottom/>
      </border>
      <protection locked="1" hidden="0"/>
    </dxf>
    <dxf>
      <alignment vertical="center" textRotation="0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color theme="1" tint="4.9989318521683403E-2"/>
      </font>
    </dxf>
    <dxf>
      <font>
        <b/>
        <color theme="4" tint="-0.249977111117893"/>
      </font>
    </dxf>
    <dxf>
      <font>
        <b/>
        <i val="0"/>
        <color theme="4" tint="-0.499984740745262"/>
      </font>
      <border>
        <left style="thin">
          <color theme="4"/>
        </left>
        <right style="thin">
          <color theme="4"/>
        </right>
        <top style="double">
          <color theme="4"/>
        </top>
        <bottom style="thin">
          <color theme="4"/>
        </bottom>
      </border>
    </dxf>
    <dxf>
      <font>
        <b val="0"/>
        <i val="0"/>
        <color theme="4" tint="-0.24994659260841701"/>
      </font>
      <border>
        <left style="thin">
          <color theme="4"/>
        </left>
        <right style="thin">
          <color theme="4"/>
        </right>
        <top style="thin">
          <color theme="4"/>
        </top>
        <vertical/>
        <horizontal/>
      </border>
    </dxf>
    <dxf>
      <font>
        <b val="0"/>
        <i val="0"/>
        <color theme="3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99"/>
      <tableStyleElement type="headerRow" dxfId="98"/>
      <tableStyleElement type="totalRow" dxfId="97"/>
      <tableStyleElement type="firstColumn" dxfId="96"/>
      <tableStyleElement type="lastColumn" dxfId="95"/>
      <tableStyleElement type="firstRowStripe" dxfId="94"/>
      <tableStyleElement type="firstColumnStripe" dxfId="9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F5766"/>
      <color rgb="FF1A99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95250</xdr:rowOff>
    </xdr:from>
    <xdr:to>
      <xdr:col>9</xdr:col>
      <xdr:colOff>1008461</xdr:colOff>
      <xdr:row>0</xdr:row>
      <xdr:rowOff>259715</xdr:rowOff>
    </xdr:to>
    <xdr:grpSp>
      <xdr:nvGrpSpPr>
        <xdr:cNvPr id="48" name="Header artwork group" descr="Header artwork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GrpSpPr/>
      </xdr:nvGrpSpPr>
      <xdr:grpSpPr>
        <a:xfrm>
          <a:off x="190500" y="95250"/>
          <a:ext cx="14010086" cy="164465"/>
          <a:chOff x="171449" y="152400"/>
          <a:chExt cx="13657124" cy="164465"/>
        </a:xfrm>
      </xdr:grpSpPr>
      <xdr:sp macro="" textlink="">
        <xdr:nvSpPr>
          <xdr:cNvPr id="39" name="Rectangle 38" title="Short Footer Graphic">
            <a:extLst>
              <a:ext uri="{FF2B5EF4-FFF2-40B4-BE49-F238E27FC236}">
                <a16:creationId xmlns:a16="http://schemas.microsoft.com/office/drawing/2014/main" id="{00000000-0008-0000-0100-000027000000}"/>
              </a:ext>
            </a:extLst>
          </xdr:cNvPr>
          <xdr:cNvSpPr/>
        </xdr:nvSpPr>
        <xdr:spPr>
          <a:xfrm>
            <a:off x="171449" y="152400"/>
            <a:ext cx="9875520" cy="164465"/>
          </a:xfrm>
          <a:prstGeom prst="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45720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91440">
              <a:spcBef>
                <a:spcPts val="0"/>
              </a:spcBef>
              <a:spcAft>
                <a:spcPts val="0"/>
              </a:spcAft>
            </a:pPr>
            <a:r>
              <a:rPr lang="en-US" sz="2500" b="1">
                <a:solidFill>
                  <a:srgbClr val="000000"/>
                </a:solidFill>
                <a:effectLst/>
                <a:ea typeface="Arial"/>
                <a:cs typeface="Times New Roman"/>
              </a:rPr>
              <a:t> </a:t>
            </a:r>
          </a:p>
        </xdr:txBody>
      </xdr:sp>
      <xdr:grpSp>
        <xdr:nvGrpSpPr>
          <xdr:cNvPr id="46" name="Group 45">
            <a:extLst>
              <a:ext uri="{FF2B5EF4-FFF2-40B4-BE49-F238E27FC236}">
                <a16:creationId xmlns:a16="http://schemas.microsoft.com/office/drawing/2014/main" id="{00000000-0008-0000-0100-00002E000000}"/>
              </a:ext>
            </a:extLst>
          </xdr:cNvPr>
          <xdr:cNvGrpSpPr/>
        </xdr:nvGrpSpPr>
        <xdr:grpSpPr>
          <a:xfrm>
            <a:off x="10079532" y="152400"/>
            <a:ext cx="3749041" cy="164465"/>
            <a:chOff x="10584357" y="200025"/>
            <a:chExt cx="3749041" cy="164465"/>
          </a:xfrm>
        </xdr:grpSpPr>
        <xdr:sp macro="" textlink="">
          <xdr:nvSpPr>
            <xdr:cNvPr id="40" name="Rectangle 39">
              <a:extLst>
                <a:ext uri="{FF2B5EF4-FFF2-40B4-BE49-F238E27FC236}">
                  <a16:creationId xmlns:a16="http://schemas.microsoft.com/office/drawing/2014/main" id="{00000000-0008-0000-0100-000028000000}"/>
                </a:ext>
              </a:extLst>
            </xdr:cNvPr>
            <xdr:cNvSpPr/>
          </xdr:nvSpPr>
          <xdr:spPr>
            <a:xfrm>
              <a:off x="11580747" y="200025"/>
              <a:ext cx="273628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1" name="Rectangle 40">
              <a:extLst>
                <a:ext uri="{FF2B5EF4-FFF2-40B4-BE49-F238E27FC236}">
                  <a16:creationId xmlns:a16="http://schemas.microsoft.com/office/drawing/2014/main" id="{00000000-0008-0000-0100-000029000000}"/>
                </a:ext>
              </a:extLst>
            </xdr:cNvPr>
            <xdr:cNvSpPr/>
          </xdr:nvSpPr>
          <xdr:spPr>
            <a:xfrm>
              <a:off x="10584357" y="200025"/>
              <a:ext cx="995986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2" name="Rectangle 41">
              <a:extLst>
                <a:ext uri="{FF2B5EF4-FFF2-40B4-BE49-F238E27FC236}">
                  <a16:creationId xmlns:a16="http://schemas.microsoft.com/office/drawing/2014/main" id="{00000000-0008-0000-0100-00002A000000}"/>
                </a:ext>
              </a:extLst>
            </xdr:cNvPr>
            <xdr:cNvSpPr/>
          </xdr:nvSpPr>
          <xdr:spPr>
            <a:xfrm>
              <a:off x="11852127" y="200025"/>
              <a:ext cx="1003728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3" name="Rectangle 42">
              <a:extLst>
                <a:ext uri="{FF2B5EF4-FFF2-40B4-BE49-F238E27FC236}">
                  <a16:creationId xmlns:a16="http://schemas.microsoft.com/office/drawing/2014/main" id="{00000000-0008-0000-0100-00002B000000}"/>
                </a:ext>
              </a:extLst>
            </xdr:cNvPr>
            <xdr:cNvSpPr/>
          </xdr:nvSpPr>
          <xdr:spPr>
            <a:xfrm>
              <a:off x="12855855" y="200025"/>
              <a:ext cx="576377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44" name="Rectangle 43">
              <a:extLst>
                <a:ext uri="{FF2B5EF4-FFF2-40B4-BE49-F238E27FC236}">
                  <a16:creationId xmlns:a16="http://schemas.microsoft.com/office/drawing/2014/main" id="{00000000-0008-0000-0100-00002C000000}"/>
                </a:ext>
              </a:extLst>
            </xdr:cNvPr>
            <xdr:cNvSpPr/>
          </xdr:nvSpPr>
          <xdr:spPr>
            <a:xfrm>
              <a:off x="13431724" y="200025"/>
              <a:ext cx="901674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95250</xdr:rowOff>
    </xdr:from>
    <xdr:to>
      <xdr:col>10</xdr:col>
      <xdr:colOff>181</xdr:colOff>
      <xdr:row>0</xdr:row>
      <xdr:rowOff>259715</xdr:rowOff>
    </xdr:to>
    <xdr:grpSp>
      <xdr:nvGrpSpPr>
        <xdr:cNvPr id="11" name="Header artwork group" descr="Header artwork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GrpSpPr/>
      </xdr:nvGrpSpPr>
      <xdr:grpSpPr>
        <a:xfrm>
          <a:off x="190500" y="95250"/>
          <a:ext cx="11373031" cy="164465"/>
          <a:chOff x="142875" y="85725"/>
          <a:chExt cx="7705905" cy="164465"/>
        </a:xfrm>
      </xdr:grpSpPr>
      <xdr:sp macro="" textlink="">
        <xdr:nvSpPr>
          <xdr:cNvPr id="4" name="Rectangle 3" title="Short Footer Graphic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42875" y="85725"/>
            <a:ext cx="5120640" cy="164465"/>
          </a:xfrm>
          <a:prstGeom prst="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45720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91440">
              <a:spcBef>
                <a:spcPts val="0"/>
              </a:spcBef>
              <a:spcAft>
                <a:spcPts val="0"/>
              </a:spcAft>
            </a:pPr>
            <a:r>
              <a:rPr lang="en-US" sz="2500" b="1">
                <a:solidFill>
                  <a:srgbClr val="000000"/>
                </a:solidFill>
                <a:effectLst/>
                <a:ea typeface="Arial"/>
                <a:cs typeface="Times New Roman"/>
              </a:rPr>
              <a:t> </a:t>
            </a:r>
          </a:p>
        </xdr:txBody>
      </xdr: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GrpSpPr/>
        </xdr:nvGrpSpPr>
        <xdr:grpSpPr>
          <a:xfrm>
            <a:off x="5288459" y="85725"/>
            <a:ext cx="2560321" cy="164465"/>
            <a:chOff x="10584357" y="200025"/>
            <a:chExt cx="3749041" cy="164465"/>
          </a:xfrm>
        </xdr:grpSpPr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/>
          </xdr:nvSpPr>
          <xdr:spPr>
            <a:xfrm>
              <a:off x="11580747" y="200025"/>
              <a:ext cx="273628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SpPr/>
          </xdr:nvSpPr>
          <xdr:spPr>
            <a:xfrm>
              <a:off x="10584357" y="200025"/>
              <a:ext cx="995986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00000000-0008-0000-0200-000008000000}"/>
                </a:ext>
              </a:extLst>
            </xdr:cNvPr>
            <xdr:cNvSpPr/>
          </xdr:nvSpPr>
          <xdr:spPr>
            <a:xfrm>
              <a:off x="11852127" y="200025"/>
              <a:ext cx="1003728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00000000-0008-0000-0200-000009000000}"/>
                </a:ext>
              </a:extLst>
            </xdr:cNvPr>
            <xdr:cNvSpPr/>
          </xdr:nvSpPr>
          <xdr:spPr>
            <a:xfrm>
              <a:off x="12855855" y="200025"/>
              <a:ext cx="576377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0" name="Rectangle 9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/>
          </xdr:nvSpPr>
          <xdr:spPr>
            <a:xfrm>
              <a:off x="13431724" y="200025"/>
              <a:ext cx="901674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95251</xdr:rowOff>
    </xdr:from>
    <xdr:to>
      <xdr:col>12</xdr:col>
      <xdr:colOff>8763</xdr:colOff>
      <xdr:row>0</xdr:row>
      <xdr:rowOff>259843</xdr:rowOff>
    </xdr:to>
    <xdr:grpSp>
      <xdr:nvGrpSpPr>
        <xdr:cNvPr id="12" name="Header artwork group" descr="Header artwork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GrpSpPr/>
      </xdr:nvGrpSpPr>
      <xdr:grpSpPr>
        <a:xfrm>
          <a:off x="171450" y="95251"/>
          <a:ext cx="14867763" cy="164592"/>
          <a:chOff x="142875" y="104775"/>
          <a:chExt cx="6914767" cy="164465"/>
        </a:xfrm>
      </xdr:grpSpPr>
      <xdr:sp macro="" textlink="">
        <xdr:nvSpPr>
          <xdr:cNvPr id="4" name="Rectangle 3" title="Short Footer Graphic">
            <a:extLst>
              <a:ext uri="{FF2B5EF4-FFF2-40B4-BE49-F238E27FC236}">
                <a16:creationId xmlns:a16="http://schemas.microsoft.com/office/drawing/2014/main" id="{00000000-0008-0000-0300-000004000000}"/>
              </a:ext>
            </a:extLst>
          </xdr:cNvPr>
          <xdr:cNvSpPr/>
        </xdr:nvSpPr>
        <xdr:spPr>
          <a:xfrm>
            <a:off x="142875" y="104775"/>
            <a:ext cx="4672306" cy="164465"/>
          </a:xfrm>
          <a:prstGeom prst="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45720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91440">
              <a:spcBef>
                <a:spcPts val="0"/>
              </a:spcBef>
              <a:spcAft>
                <a:spcPts val="0"/>
              </a:spcAft>
            </a:pPr>
            <a:r>
              <a:rPr lang="en-US" sz="2500" b="1">
                <a:solidFill>
                  <a:srgbClr val="000000"/>
                </a:solidFill>
                <a:effectLst/>
                <a:ea typeface="Arial"/>
                <a:cs typeface="Times New Roman"/>
              </a:rPr>
              <a:t> </a:t>
            </a:r>
          </a:p>
        </xdr:txBody>
      </xdr:sp>
      <xdr:grpSp>
        <xdr:nvGrpSpPr>
          <xdr:cNvPr id="5" name="Group 4">
            <a:extLst>
              <a:ext uri="{FF2B5EF4-FFF2-40B4-BE49-F238E27FC236}">
                <a16:creationId xmlns:a16="http://schemas.microsoft.com/office/drawing/2014/main" id="{00000000-0008-0000-0300-000005000000}"/>
              </a:ext>
            </a:extLst>
          </xdr:cNvPr>
          <xdr:cNvGrpSpPr/>
        </xdr:nvGrpSpPr>
        <xdr:grpSpPr>
          <a:xfrm>
            <a:off x="4848240" y="104775"/>
            <a:ext cx="2199877" cy="164465"/>
            <a:chOff x="10584358" y="200025"/>
            <a:chExt cx="3749040" cy="164465"/>
          </a:xfrm>
        </xdr:grpSpPr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00000000-0008-0000-0300-000006000000}"/>
                </a:ext>
              </a:extLst>
            </xdr:cNvPr>
            <xdr:cNvSpPr/>
          </xdr:nvSpPr>
          <xdr:spPr>
            <a:xfrm>
              <a:off x="11580747" y="200025"/>
              <a:ext cx="273628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00000000-0008-0000-0300-000007000000}"/>
                </a:ext>
              </a:extLst>
            </xdr:cNvPr>
            <xdr:cNvSpPr/>
          </xdr:nvSpPr>
          <xdr:spPr>
            <a:xfrm>
              <a:off x="10584358" y="200025"/>
              <a:ext cx="995986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00000000-0008-0000-0300-000008000000}"/>
                </a:ext>
              </a:extLst>
            </xdr:cNvPr>
            <xdr:cNvSpPr/>
          </xdr:nvSpPr>
          <xdr:spPr>
            <a:xfrm>
              <a:off x="11852127" y="200025"/>
              <a:ext cx="1003728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00000000-0008-0000-0300-000009000000}"/>
                </a:ext>
              </a:extLst>
            </xdr:cNvPr>
            <xdr:cNvSpPr/>
          </xdr:nvSpPr>
          <xdr:spPr>
            <a:xfrm>
              <a:off x="12855855" y="200025"/>
              <a:ext cx="576377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10" name="Rectangle 9">
              <a:extLst>
                <a:ext uri="{FF2B5EF4-FFF2-40B4-BE49-F238E27FC236}">
                  <a16:creationId xmlns:a16="http://schemas.microsoft.com/office/drawing/2014/main" id="{00000000-0008-0000-0300-00000A000000}"/>
                </a:ext>
              </a:extLst>
            </xdr:cNvPr>
            <xdr:cNvSpPr/>
          </xdr:nvSpPr>
          <xdr:spPr>
            <a:xfrm>
              <a:off x="13431724" y="200025"/>
              <a:ext cx="901674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</xdr:grp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95251</xdr:rowOff>
    </xdr:from>
    <xdr:to>
      <xdr:col>12</xdr:col>
      <xdr:colOff>8763</xdr:colOff>
      <xdr:row>0</xdr:row>
      <xdr:rowOff>259843</xdr:rowOff>
    </xdr:to>
    <xdr:grpSp>
      <xdr:nvGrpSpPr>
        <xdr:cNvPr id="2" name="Header artwork group" descr="Header artwork">
          <a:extLst>
            <a:ext uri="{FF2B5EF4-FFF2-40B4-BE49-F238E27FC236}">
              <a16:creationId xmlns:a16="http://schemas.microsoft.com/office/drawing/2014/main" id="{88318409-E143-4A1E-8BED-D49F5119C717}"/>
            </a:ext>
          </a:extLst>
        </xdr:cNvPr>
        <xdr:cNvGrpSpPr/>
      </xdr:nvGrpSpPr>
      <xdr:grpSpPr>
        <a:xfrm>
          <a:off x="171450" y="95251"/>
          <a:ext cx="14191488" cy="164592"/>
          <a:chOff x="142875" y="104775"/>
          <a:chExt cx="6914767" cy="164465"/>
        </a:xfrm>
      </xdr:grpSpPr>
      <xdr:sp macro="" textlink="">
        <xdr:nvSpPr>
          <xdr:cNvPr id="3" name="Rectangle 2" title="Short Footer Graphic">
            <a:extLst>
              <a:ext uri="{FF2B5EF4-FFF2-40B4-BE49-F238E27FC236}">
                <a16:creationId xmlns:a16="http://schemas.microsoft.com/office/drawing/2014/main" id="{C82729EB-C738-C304-6B19-822E89B8DA99}"/>
              </a:ext>
            </a:extLst>
          </xdr:cNvPr>
          <xdr:cNvSpPr/>
        </xdr:nvSpPr>
        <xdr:spPr>
          <a:xfrm>
            <a:off x="142875" y="104775"/>
            <a:ext cx="4672306" cy="164465"/>
          </a:xfrm>
          <a:prstGeom prst="rect">
            <a:avLst/>
          </a:prstGeom>
          <a:solidFill>
            <a:schemeClr val="accent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rot="0" spcFirstLastPara="0" vert="horz" wrap="square" lIns="457200" tIns="45720" rIns="91440" bIns="45720" numCol="1" spcCol="0" rtlCol="0" fromWordArt="0" anchor="ctr" anchorCtr="0" forceAA="0" compatLnSpc="1">
            <a:prstTxWarp prst="textNoShape">
              <a:avLst/>
            </a:prstTxWarp>
            <a:noAutofit/>
          </a:bodyPr>
          <a:lstStyle/>
          <a:p>
            <a:pPr marL="0" marR="91440">
              <a:spcBef>
                <a:spcPts val="0"/>
              </a:spcBef>
              <a:spcAft>
                <a:spcPts val="0"/>
              </a:spcAft>
            </a:pPr>
            <a:r>
              <a:rPr lang="en-US" sz="2500" b="1">
                <a:solidFill>
                  <a:srgbClr val="000000"/>
                </a:solidFill>
                <a:effectLst/>
                <a:ea typeface="Arial"/>
                <a:cs typeface="Times New Roman"/>
              </a:rPr>
              <a:t> </a:t>
            </a:r>
          </a:p>
        </xdr:txBody>
      </xdr:sp>
      <xdr:grpSp>
        <xdr:nvGrpSpPr>
          <xdr:cNvPr id="4" name="Group 3">
            <a:extLst>
              <a:ext uri="{FF2B5EF4-FFF2-40B4-BE49-F238E27FC236}">
                <a16:creationId xmlns:a16="http://schemas.microsoft.com/office/drawing/2014/main" id="{7A0591B9-98A5-1CF0-11AD-E4599A3794D6}"/>
              </a:ext>
            </a:extLst>
          </xdr:cNvPr>
          <xdr:cNvGrpSpPr/>
        </xdr:nvGrpSpPr>
        <xdr:grpSpPr>
          <a:xfrm>
            <a:off x="4848240" y="104775"/>
            <a:ext cx="2199877" cy="164465"/>
            <a:chOff x="10584358" y="200025"/>
            <a:chExt cx="3749040" cy="164465"/>
          </a:xfrm>
        </xdr:grpSpPr>
        <xdr:sp macro="" textlink="">
          <xdr:nvSpPr>
            <xdr:cNvPr id="5" name="Rectangle 4">
              <a:extLst>
                <a:ext uri="{FF2B5EF4-FFF2-40B4-BE49-F238E27FC236}">
                  <a16:creationId xmlns:a16="http://schemas.microsoft.com/office/drawing/2014/main" id="{F273CF1D-F96A-EBA8-53F2-B1721DF57C77}"/>
                </a:ext>
              </a:extLst>
            </xdr:cNvPr>
            <xdr:cNvSpPr/>
          </xdr:nvSpPr>
          <xdr:spPr>
            <a:xfrm>
              <a:off x="11580747" y="200025"/>
              <a:ext cx="273628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6" name="Rectangle 5">
              <a:extLst>
                <a:ext uri="{FF2B5EF4-FFF2-40B4-BE49-F238E27FC236}">
                  <a16:creationId xmlns:a16="http://schemas.microsoft.com/office/drawing/2014/main" id="{3210853C-C50A-5D76-7867-1D84F294C211}"/>
                </a:ext>
              </a:extLst>
            </xdr:cNvPr>
            <xdr:cNvSpPr/>
          </xdr:nvSpPr>
          <xdr:spPr>
            <a:xfrm>
              <a:off x="10584358" y="200025"/>
              <a:ext cx="995986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7" name="Rectangle 6">
              <a:extLst>
                <a:ext uri="{FF2B5EF4-FFF2-40B4-BE49-F238E27FC236}">
                  <a16:creationId xmlns:a16="http://schemas.microsoft.com/office/drawing/2014/main" id="{961CAB72-DE21-4B52-C35E-08CD3E1E547C}"/>
                </a:ext>
              </a:extLst>
            </xdr:cNvPr>
            <xdr:cNvSpPr/>
          </xdr:nvSpPr>
          <xdr:spPr>
            <a:xfrm>
              <a:off x="11852127" y="200025"/>
              <a:ext cx="1003728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8" name="Rectangle 7">
              <a:extLst>
                <a:ext uri="{FF2B5EF4-FFF2-40B4-BE49-F238E27FC236}">
                  <a16:creationId xmlns:a16="http://schemas.microsoft.com/office/drawing/2014/main" id="{DE4E25FD-34C1-CA4B-2CDE-6BCA50C44434}"/>
                </a:ext>
              </a:extLst>
            </xdr:cNvPr>
            <xdr:cNvSpPr/>
          </xdr:nvSpPr>
          <xdr:spPr>
            <a:xfrm>
              <a:off x="12855855" y="200025"/>
              <a:ext cx="576377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  <xdr:sp macro="" textlink="">
          <xdr:nvSpPr>
            <xdr:cNvPr id="9" name="Rectangle 8">
              <a:extLst>
                <a:ext uri="{FF2B5EF4-FFF2-40B4-BE49-F238E27FC236}">
                  <a16:creationId xmlns:a16="http://schemas.microsoft.com/office/drawing/2014/main" id="{8FB812FC-D380-6F97-BFC3-3982A74529D1}"/>
                </a:ext>
              </a:extLst>
            </xdr:cNvPr>
            <xdr:cNvSpPr/>
          </xdr:nvSpPr>
          <xdr:spPr>
            <a:xfrm>
              <a:off x="13431724" y="200025"/>
              <a:ext cx="901674" cy="164465"/>
            </a:xfrm>
            <a:prstGeom prst="rect">
              <a:avLst/>
            </a:prstGeom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rot="0" spcFirstLastPara="0" vert="horz" wrap="square" lIns="91440" tIns="45720" rIns="91440" bIns="45720" numCol="1" spcCol="0" rtlCol="0" fromWordArt="0" anchor="ctr" anchorCtr="0" forceAA="0" compatLnSpc="1">
              <a:prstTxWarp prst="textNoShape">
                <a:avLst/>
              </a:prstTxWarp>
              <a:noAutofit/>
            </a:bodyPr>
            <a:lstStyle/>
            <a:p>
              <a:endParaRPr lang="en-US"/>
            </a:p>
          </xdr:txBody>
        </xdr:sp>
      </xdr:grp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CustomerList" displayName="CustomerList" ref="B3:J25" totalsRowShown="0">
  <autoFilter ref="B3:J25" xr:uid="{00000000-0009-0000-0100-000001000000}"/>
  <tableColumns count="9">
    <tableColumn id="2" xr3:uid="{00000000-0010-0000-0100-000002000000}" name="Company Name" dataDxfId="92" totalsRowDxfId="91"/>
    <tableColumn id="3" xr3:uid="{00000000-0010-0000-0100-000003000000}" name="Contact Name" dataDxfId="90" totalsRowDxfId="89"/>
    <tableColumn id="4" xr3:uid="{00000000-0010-0000-0100-000004000000}" name="Address" dataDxfId="88" totalsRowDxfId="87"/>
    <tableColumn id="5" xr3:uid="{00000000-0010-0000-0100-000005000000}" name="City" dataDxfId="86" totalsRowDxfId="85"/>
    <tableColumn id="6" xr3:uid="{00000000-0010-0000-0100-000006000000}" name="State" dataDxfId="84" totalsRowDxfId="83"/>
    <tableColumn id="7" xr3:uid="{00000000-0010-0000-0100-000007000000}" name="ZIP Code" dataDxfId="82" totalsRowDxfId="81"/>
    <tableColumn id="8" xr3:uid="{00000000-0010-0000-0100-000008000000}" name="Phone" dataDxfId="80" totalsRowDxfId="79"/>
    <tableColumn id="10" xr3:uid="{00000000-0010-0000-0100-00000A000000}" name="Email" dataDxfId="78" totalsRowDxfId="77" dataCellStyle="Normal"/>
    <tableColumn id="11" xr3:uid="{00000000-0010-0000-0100-00000B000000}" name="Fax" dataDxfId="76" totalsRowDxfId="75"/>
  </tableColumns>
  <tableStyleInfo name="Sales Invoice Table" showFirstColumn="0" showLastColumn="0" showRowStripes="1" showColumnStripes="0"/>
  <extLst>
    <ext xmlns:x14="http://schemas.microsoft.com/office/spreadsheetml/2009/9/main" uri="{504A1905-F514-4f6f-8877-14C23A59335A}">
      <x14:table altTextSummary="Customer list with company #, company name, contact name, address, city, state, zip code, phone, email and fax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jectsList" displayName="ProjectsList" ref="B3:J61" totalsRowShown="0" headerRowDxfId="74" totalsRowDxfId="73" headerRowCellStyle="Heading 4">
  <autoFilter ref="B3:J61" xr:uid="{00000000-0009-0000-0100-000003000000}"/>
  <tableColumns count="9">
    <tableColumn id="1" xr3:uid="{00000000-0010-0000-0200-000001000000}" name="Project No" dataDxfId="72" totalsRowDxfId="71" dataCellStyle="Comma"/>
    <tableColumn id="2" xr3:uid="{00000000-0010-0000-0200-000002000000}" name="Company" dataDxfId="70" totalsRowDxfId="69"/>
    <tableColumn id="4" xr3:uid="{00000000-0010-0000-0200-000004000000}" name="Project Description" dataDxfId="68" totalsRowDxfId="67"/>
    <tableColumn id="3" xr3:uid="{D1C3221A-9051-441C-8629-D78F23EC8601}" name="Project_Label" dataDxfId="66" totalsRowDxfId="65"/>
    <tableColumn id="8" xr3:uid="{00000000-0010-0000-0200-000008000000}" name="Straight Time" dataDxfId="64" totalsRowDxfId="63" dataCellStyle="Currency"/>
    <tableColumn id="9" xr3:uid="{00000000-0010-0000-0200-000009000000}" name="Overtime" dataDxfId="62">
      <calculatedColumnFormula>ProjectsList[[#This Row],[Straight Time]]*1.5</calculatedColumnFormula>
    </tableColumn>
    <tableColumn id="6" xr3:uid="{00000000-0010-0000-0200-000006000000}" name="Travel Time" dataDxfId="61" totalsRowDxfId="60">
      <calculatedColumnFormula>ProjectsList[[#This Row],[Straight Time]]*0.5</calculatedColumnFormula>
    </tableColumn>
    <tableColumn id="7" xr3:uid="{59C35107-4132-4805-96DA-9C8DFE2C0F40}" name="Fixed Fee" dataDxfId="59" totalsRowDxfId="58"/>
    <tableColumn id="5" xr3:uid="{00000000-0010-0000-0200-000005000000}" name="Notes" dataDxfId="57" totalsRowDxfId="56"/>
  </tableColumns>
  <tableStyleInfo name="Sales Invoice Table" showFirstColumn="0" showLastColumn="0" showRowStripes="1" showColumnStripes="0"/>
  <extLst>
    <ext xmlns:x14="http://schemas.microsoft.com/office/spreadsheetml/2009/9/main" uri="{504A1905-F514-4f6f-8877-14C23A59335A}">
      <x14:table altTextSummary="Invoice list with invoice #, company, invoice date, project description, tax rate, other, deposit, detail total, invoice total and notes"/>
    </ext>
  </extLst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imeLog" displayName="TimeLog" ref="B3:L285" totalsRowCount="1" dataDxfId="55" headerRowCellStyle="Heading 4">
  <autoFilter ref="B3:L284" xr:uid="{00000000-0009-0000-0100-000002000000}"/>
  <sortState xmlns:xlrd2="http://schemas.microsoft.com/office/spreadsheetml/2017/richdata2" ref="B4:L284">
    <sortCondition ref="B3:B284"/>
  </sortState>
  <tableColumns count="11">
    <tableColumn id="4" xr3:uid="{00000000-0010-0000-0300-000004000000}" name="Date" totalsRowLabel="Total" dataDxfId="54" totalsRowDxfId="53"/>
    <tableColumn id="8" xr3:uid="{4CAA04BD-D907-4FEB-BC9E-CD380B142EB9}" name="Project No" dataDxfId="52" totalsRowDxfId="51" dataCellStyle="Comma"/>
    <tableColumn id="1" xr3:uid="{DEEC3D5E-AE29-4A15-8BDF-523F229EBCE4}" name="Customer" dataDxfId="50" totalsRowDxfId="49" dataCellStyle="Comma">
      <calculatedColumnFormula>IFERROR(VLOOKUP(TimeLog[[#This Row],[Project No]],ProjectsList[],2,FALSE),"")</calculatedColumnFormula>
    </tableColumn>
    <tableColumn id="2" xr3:uid="{B6C2522E-B418-4C64-ABD5-1C0E1D3FD134}" name="Project Description" dataDxfId="48" totalsRowDxfId="47" dataCellStyle="Comma">
      <calculatedColumnFormula>IFERROR(VLOOKUP(TimeLog[[#This Row],[Project No]],ProjectsList[],3,FALSE),"")</calculatedColumnFormula>
    </tableColumn>
    <tableColumn id="3" xr3:uid="{00000000-0010-0000-0300-000003000000}" name="Work Description" dataDxfId="46" totalsRowDxfId="45"/>
    <tableColumn id="6" xr3:uid="{00000000-0010-0000-0300-000006000000}" name="Hours" totalsRowFunction="sum" dataDxfId="44" totalsRowDxfId="43" dataCellStyle="Comma"/>
    <tableColumn id="7" xr3:uid="{7A22F65B-071F-4036-A9EE-4FECCC3D0A19}" name="Type" dataDxfId="42" totalsRowDxfId="41" dataCellStyle="Comma"/>
    <tableColumn id="10" xr3:uid="{E8E9C44E-060D-4ECC-BD6D-22D327251FE5}" name="Spare" dataDxfId="40" totalsRowDxfId="39"/>
    <tableColumn id="12" xr3:uid="{9681359F-85C4-45D6-964C-9F2D31759227}" name="Invoice #" dataDxfId="38" totalsRowDxfId="37"/>
    <tableColumn id="9" xr3:uid="{72625312-3EF3-479B-AAA2-71CFE943FC49}" name="Rate" dataDxfId="36" totalsRowDxfId="35" dataCellStyle="Comma">
      <calculatedColumnFormula array="1">IFERROR(VLOOKUP(TimeLog[[#This Row],[Project No]],ProjectsList[],_xlfn.SWITCH(TimeLog[[#This Row],[Type]],"ST",5,"OT",6,"TT",7,"HD",8),FALSE),"")</calculatedColumnFormula>
    </tableColumn>
    <tableColumn id="5" xr3:uid="{00000000-0010-0000-0300-000005000000}" name="Total" totalsRowFunction="sum" dataDxfId="34" totalsRowDxfId="33">
      <calculatedColumnFormula>IFERROR(TimeLog[[#This Row],[Rate]]*TimeLog[[#This Row],[Hours]],"")</calculatedColumnFormula>
    </tableColumn>
  </tableColumns>
  <tableStyleInfo name="Sales Invoice Table" showFirstColumn="0" showLastColumn="0" showRowStripes="1" showColumnStripes="0"/>
  <extLst>
    <ext xmlns:x14="http://schemas.microsoft.com/office/spreadsheetml/2009/9/main" uri="{504A1905-F514-4f6f-8877-14C23A59335A}">
      <x14:table altTextSummary="Invoice details with description, invoice #, item #, quantity, unit price, discount, and total"/>
    </ext>
  </extLst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22ABB98-4DAD-47C2-BF8E-DE0B025E94CF}" name="ExpenseLog" displayName="ExpenseLog" ref="B3:L315" totalsRowCount="1" dataDxfId="32" headerRowCellStyle="Heading 4">
  <autoFilter ref="B3:L314" xr:uid="{00000000-0009-0000-0100-000002000000}"/>
  <sortState xmlns:xlrd2="http://schemas.microsoft.com/office/spreadsheetml/2017/richdata2" ref="B4:L314">
    <sortCondition ref="B3:B314"/>
  </sortState>
  <tableColumns count="11">
    <tableColumn id="4" xr3:uid="{7E46CF13-0F30-45E9-928C-94A88A2F31EC}" name="Date" totalsRowLabel="Total" dataDxfId="31" totalsRowDxfId="30"/>
    <tableColumn id="8" xr3:uid="{29D52A76-3BD5-49F9-89EB-A0DF3076B967}" name="Project No" dataDxfId="29" totalsRowDxfId="28" dataCellStyle="Comma"/>
    <tableColumn id="1" xr3:uid="{73CB88B3-17BE-4E99-8696-D6509B9EEB69}" name="Customer" dataDxfId="27" totalsRowDxfId="26" dataCellStyle="Comma">
      <calculatedColumnFormula>IFERROR(VLOOKUP(ExpenseLog[[#This Row],[Project No]],ProjectsList[],2,FALSE),"")</calculatedColumnFormula>
    </tableColumn>
    <tableColumn id="2" xr3:uid="{DE58526D-16F5-41B4-B8A0-551A83FA8943}" name="Project Description" dataDxfId="25" totalsRowDxfId="24" dataCellStyle="Comma">
      <calculatedColumnFormula>IFERROR(VLOOKUP(ExpenseLog[[#This Row],[Project No]],ProjectsList[],3,FALSE),"")</calculatedColumnFormula>
    </tableColumn>
    <tableColumn id="3" xr3:uid="{616559CA-B187-443D-A637-D555FD4A567C}" name="Expense Description" dataDxfId="23" totalsRowDxfId="22"/>
    <tableColumn id="6" xr3:uid="{F5DF19F5-EA2D-4867-B0BA-F2006A024CCC}" name="Qty" totalsRowFunction="sum" dataDxfId="21" totalsRowDxfId="20" dataCellStyle="Comma"/>
    <tableColumn id="7" xr3:uid="{78BED4C7-E3EC-4526-B0F7-D777CDED33E0}" name="Type" dataDxfId="19" totalsRowDxfId="18" dataCellStyle="Comma"/>
    <tableColumn id="10" xr3:uid="{025525B5-75C1-4C27-B50B-16065F8C7414}" name="Spare" dataDxfId="17" totalsRowDxfId="16"/>
    <tableColumn id="12" xr3:uid="{EB6034CF-A52C-42EB-AB32-649428A726D8}" name="Invoice #" dataDxfId="15" totalsRowDxfId="14"/>
    <tableColumn id="9" xr3:uid="{DB8F3A95-DC23-44B6-86E8-4573A0102B7C}" name="Rate" dataDxfId="13" totalsRowDxfId="12" dataCellStyle="Comma"/>
    <tableColumn id="5" xr3:uid="{5B37CFF1-1ECC-4087-9EC5-96E163950BE4}" name="Total" totalsRowFunction="sum" dataDxfId="11" totalsRowDxfId="10">
      <calculatedColumnFormula>ExpenseLog[[#This Row],[Rate]]*ExpenseLog[[#This Row],[Qty]]</calculatedColumnFormula>
    </tableColumn>
  </tableColumns>
  <tableStyleInfo name="Sales Invoice Table" showFirstColumn="0" showLastColumn="0" showRowStripes="1" showColumnStripes="0"/>
  <extLst>
    <ext xmlns:x14="http://schemas.microsoft.com/office/spreadsheetml/2009/9/main" uri="{504A1905-F514-4f6f-8877-14C23A59335A}">
      <x14:table altTextSummary="Invoice details with description, invoice #, item #, quantity, unit price, discount, and total"/>
    </ext>
  </extLst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382FC61-501D-4F07-B5EA-0CE1B71251C5}" name="IncomeTracking" displayName="IncomeTracking" ref="A2:P112" totalsRowShown="0" headerRowDxfId="9" headerRowBorderDxfId="8">
  <autoFilter ref="A2:P112" xr:uid="{A382FC61-501D-4F07-B5EA-0CE1B71251C5}"/>
  <tableColumns count="16">
    <tableColumn id="1" xr3:uid="{8B8269A4-5AC3-4079-8219-D372AB8B4CAC}" name="Invoice Number "/>
    <tableColumn id="17" xr3:uid="{B52BBA24-6F18-442C-BD9C-60F1346ECDBA}" name="Invoice Date" dataDxfId="7"/>
    <tableColumn id="16" xr3:uid="{CAEF5E0B-DD8F-4185-A297-958D1EF3C73E}" name="Customer Name"/>
    <tableColumn id="4" xr3:uid="{D6E3E839-7D98-4079-A1AF-2776875F9AE7}" name="Column1"/>
    <tableColumn id="5" xr3:uid="{96269FDF-EACE-42B7-A5E9-07A4C6F8D173}" name="Consulting Amount" dataCellStyle="Currency"/>
    <tableColumn id="6" xr3:uid="{DF08445D-A2E5-4312-BAE4-66305CBEB1BA}" name="Travel Expenses" dataCellStyle="Currency"/>
    <tableColumn id="7" xr3:uid="{C5FED0BF-427B-42E7-B4FF-745FF6D111A9}" name="Miscellaneous Exp." dataCellStyle="Currency"/>
    <tableColumn id="8" xr3:uid="{850B0B65-A9A7-4C5B-A786-C9FA508A13B2}" name="Total Invoice"/>
    <tableColumn id="9" xr3:uid="{4DD945A8-666B-4B53-9931-81BCA29CB149}" name="Running Balance"/>
    <tableColumn id="10" xr3:uid="{2E509AB2-DD92-478B-A1F6-4EFE8C729B58}" name="Column2"/>
    <tableColumn id="11" xr3:uid="{4DFE5149-406E-411E-9432-B9E584FE336E}" name="Monthly Totals"/>
    <tableColumn id="12" xr3:uid="{D6BB6696-F484-4209-9234-8E9672631FDA}" name="Column3"/>
    <tableColumn id="13" xr3:uid="{9E9D723F-7BCD-4E3A-B819-9E4CDB4CCE5E}" name="PAID (Y/N)"/>
    <tableColumn id="14" xr3:uid="{DBE33C9A-716F-42A6-A7C6-7F9E0462FBB9}" name="PAID_x000a_Deposit Date"/>
    <tableColumn id="15" xr3:uid="{135BEEDC-8566-45B1-92D5-9661ACD5CFCA}" name="Notes:"/>
    <tableColumn id="2" xr3:uid="{DC67B2C8-C29C-4393-8BE3-87AC00A19E9D}" name="Column4"/>
  </tableColumns>
  <tableStyleInfo name="Sales Invoice 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mallory@outlook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sreinhold@reinholdenvironmental.com" TargetMode="External"/><Relationship Id="rId7" Type="http://schemas.openxmlformats.org/officeDocument/2006/relationships/drawing" Target="../drawings/drawing1.xml"/><Relationship Id="rId2" Type="http://schemas.openxmlformats.org/officeDocument/2006/relationships/hyperlink" Target="mailto:paul.leanza@met.net" TargetMode="External"/><Relationship Id="rId1" Type="http://schemas.openxmlformats.org/officeDocument/2006/relationships/hyperlink" Target="mailto:TRK@apcnetwork.com" TargetMode="External"/><Relationship Id="rId6" Type="http://schemas.openxmlformats.org/officeDocument/2006/relationships/printerSettings" Target="../printerSettings/printerSettings2.bin"/><Relationship Id="rId5" Type="http://schemas.openxmlformats.org/officeDocument/2006/relationships/hyperlink" Target="mailto:jsobin@illinioscement.com" TargetMode="External"/><Relationship Id="rId4" Type="http://schemas.openxmlformats.org/officeDocument/2006/relationships/hyperlink" Target="mailto:tressiemartin@outlook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499984740745262"/>
    <pageSetUpPr autoPageBreaks="0"/>
  </sheetPr>
  <dimension ref="A1:O75"/>
  <sheetViews>
    <sheetView showGridLines="0" zoomScale="125" zoomScaleNormal="125" workbookViewId="0">
      <selection activeCell="G5" sqref="G5"/>
    </sheetView>
  </sheetViews>
  <sheetFormatPr defaultColWidth="9" defaultRowHeight="33.950000000000003" customHeight="1" x14ac:dyDescent="0.25"/>
  <cols>
    <col min="1" max="1" width="2.85546875" style="24" customWidth="1"/>
    <col min="2" max="2" width="11.7109375" style="3" customWidth="1"/>
    <col min="3" max="3" width="8.7109375" style="3" customWidth="1"/>
    <col min="4" max="4" width="33.5703125" style="3" customWidth="1"/>
    <col min="5" max="5" width="11.85546875" style="3" customWidth="1"/>
    <col min="6" max="7" width="16.7109375" style="3" customWidth="1"/>
    <col min="8" max="8" width="2.85546875" style="3" customWidth="1"/>
    <col min="9" max="9" width="11.28515625" style="3" customWidth="1"/>
    <col min="10" max="10" width="10.28515625" style="3" bestFit="1" customWidth="1"/>
    <col min="11" max="11" width="32" style="3" customWidth="1"/>
    <col min="12" max="16384" width="9" style="3"/>
  </cols>
  <sheetData>
    <row r="1" spans="1:15" s="54" customFormat="1" ht="33.75" customHeight="1" x14ac:dyDescent="0.25">
      <c r="A1"/>
      <c r="B1" s="100" t="s">
        <v>25</v>
      </c>
      <c r="C1" s="101"/>
      <c r="D1" s="101"/>
      <c r="E1" s="101"/>
      <c r="F1" s="102"/>
      <c r="G1" s="103"/>
      <c r="H1"/>
      <c r="I1"/>
    </row>
    <row r="2" spans="1:15" ht="18.600000000000001" customHeight="1" x14ac:dyDescent="0.25">
      <c r="A2"/>
      <c r="B2" s="112" t="s">
        <v>169</v>
      </c>
      <c r="C2" s="113"/>
      <c r="D2" s="113"/>
      <c r="E2" s="118" t="s">
        <v>166</v>
      </c>
      <c r="F2" s="118"/>
      <c r="G2" s="119"/>
      <c r="H2"/>
      <c r="I2"/>
    </row>
    <row r="3" spans="1:15" ht="18.600000000000001" customHeight="1" x14ac:dyDescent="0.25">
      <c r="A3"/>
      <c r="B3" s="114" t="s">
        <v>170</v>
      </c>
      <c r="C3" s="115"/>
      <c r="D3" s="115"/>
      <c r="E3" s="116" t="s">
        <v>165</v>
      </c>
      <c r="F3" s="116"/>
      <c r="G3" s="117"/>
      <c r="H3"/>
      <c r="I3"/>
    </row>
    <row r="4" spans="1:15" s="56" customFormat="1" ht="24" customHeight="1" x14ac:dyDescent="0.3">
      <c r="A4" s="55"/>
      <c r="B4" s="73" t="s">
        <v>11</v>
      </c>
      <c r="C4" s="129" t="str">
        <f>IFERROR(VLOOKUP(C11,ProjectsList[],2,FALSE),"")</f>
        <v>TRK Engineering Services, Inc.</v>
      </c>
      <c r="D4" s="129"/>
      <c r="E4" s="74"/>
      <c r="F4" s="75" t="s">
        <v>22</v>
      </c>
      <c r="G4" s="76">
        <v>662</v>
      </c>
      <c r="H4"/>
      <c r="I4"/>
    </row>
    <row r="5" spans="1:15" s="7" customFormat="1" ht="16.149999999999999" customHeight="1" x14ac:dyDescent="0.25">
      <c r="A5" s="23"/>
      <c r="B5" s="73" t="s">
        <v>12</v>
      </c>
      <c r="C5" s="130" t="str">
        <f>IFERROR(VLOOKUP(C4,CustomerList[],3,FALSE),"")</f>
        <v>8 Bates Lane</v>
      </c>
      <c r="D5" s="130"/>
      <c r="E5" s="130"/>
      <c r="F5" s="75" t="s">
        <v>13</v>
      </c>
      <c r="G5" s="77">
        <v>46014</v>
      </c>
      <c r="H5"/>
      <c r="I5"/>
    </row>
    <row r="6" spans="1:15" s="7" customFormat="1" ht="16.149999999999999" customHeight="1" x14ac:dyDescent="0.25">
      <c r="A6" s="23"/>
      <c r="B6" s="78"/>
      <c r="C6" s="130" t="str">
        <f>IFERROR(VLOOKUP(C4,CustomerList[],4,FALSE),"")&amp;", "&amp;IFERROR(VLOOKUP(C4,CustomerList[],5,FALSE),"")&amp;"  "&amp;IFERROR(VLOOKUP(C4,CustomerList[],6,FALSE),"")</f>
        <v>Westford, MA  01886</v>
      </c>
      <c r="D6" s="130"/>
      <c r="E6" s="74"/>
      <c r="F6" s="79"/>
      <c r="G6" s="80"/>
      <c r="H6"/>
      <c r="I6"/>
    </row>
    <row r="7" spans="1:15" s="7" customFormat="1" ht="16.149999999999999" customHeight="1" x14ac:dyDescent="0.25">
      <c r="A7" s="23"/>
      <c r="B7" s="81" t="s">
        <v>163</v>
      </c>
      <c r="C7" s="126" t="str">
        <f>IFERROR(VLOOKUP(C4,CustomerList[],7,FALSE),"")</f>
        <v>978-793-0502</v>
      </c>
      <c r="D7" s="126"/>
      <c r="E7" s="82"/>
      <c r="F7" s="79"/>
      <c r="G7" s="80"/>
      <c r="H7"/>
      <c r="I7"/>
    </row>
    <row r="8" spans="1:15" ht="20.25" customHeight="1" x14ac:dyDescent="0.25">
      <c r="B8" s="83" t="s">
        <v>164</v>
      </c>
      <c r="C8" s="127" t="str">
        <f>IFERROR(VLOOKUP(C4,CustomerList[],8,FALSE),"")</f>
        <v>TRK@apcnetwork.com</v>
      </c>
      <c r="D8" s="128"/>
      <c r="E8" s="49" t="str">
        <f>_xlfn.CONCAT("Project:  ",(VLOOKUP(C11,ProjectsList[],4,FALSE)))</f>
        <v>Project:  507 - Suncor Extra Engineering</v>
      </c>
      <c r="F8" s="50"/>
      <c r="G8" s="84"/>
      <c r="H8"/>
      <c r="I8"/>
    </row>
    <row r="9" spans="1:15" s="53" customFormat="1" ht="21.75" customHeight="1" x14ac:dyDescent="0.25">
      <c r="B9" s="85" t="s">
        <v>26</v>
      </c>
      <c r="C9" s="61" t="s">
        <v>162</v>
      </c>
      <c r="D9" s="61" t="s">
        <v>8</v>
      </c>
      <c r="E9" s="61" t="s">
        <v>17</v>
      </c>
      <c r="F9" s="61" t="s">
        <v>19</v>
      </c>
      <c r="G9" s="86" t="s">
        <v>18</v>
      </c>
    </row>
    <row r="10" spans="1:15" s="4" customFormat="1" ht="19.899999999999999" customHeight="1" x14ac:dyDescent="0.25">
      <c r="B10" s="87"/>
      <c r="C10" s="59"/>
      <c r="D10" s="57"/>
      <c r="E10" s="64"/>
      <c r="F10" s="64"/>
      <c r="G10" s="88"/>
    </row>
    <row r="11" spans="1:15" s="4" customFormat="1" ht="19.899999999999999" customHeight="1" x14ac:dyDescent="0.25">
      <c r="B11" s="87" cm="1">
        <f t="array" ref="B11:G17">IFERROR(_xlfn.CHOOSECOLS(_xlfn._xlws.FILTER(TimeLog[],(TimeLog[Invoice '#]=rngInvoice)),1,2,5,6,10,11),"")</f>
        <v>45993</v>
      </c>
      <c r="C11" s="59">
        <v>507</v>
      </c>
      <c r="D11" s="57" t="str">
        <v>Purchasing for TECO</v>
      </c>
      <c r="E11" s="63">
        <v>6</v>
      </c>
      <c r="F11" s="63">
        <v>110</v>
      </c>
      <c r="G11" s="89">
        <v>660</v>
      </c>
    </row>
    <row r="12" spans="1:15" s="4" customFormat="1" ht="19.899999999999999" customHeight="1" x14ac:dyDescent="0.25">
      <c r="B12" s="87">
        <v>45994</v>
      </c>
      <c r="C12" s="59">
        <v>507</v>
      </c>
      <c r="D12" s="57" t="str">
        <v>Purchasing , Juice Can Housing Design</v>
      </c>
      <c r="E12" s="63">
        <v>2</v>
      </c>
      <c r="F12" s="63">
        <v>110</v>
      </c>
      <c r="G12" s="89">
        <v>220</v>
      </c>
    </row>
    <row r="13" spans="1:15" s="4" customFormat="1" ht="19.899999999999999" customHeight="1" x14ac:dyDescent="0.25">
      <c r="B13" s="87">
        <v>46000</v>
      </c>
      <c r="C13" s="59">
        <v>507</v>
      </c>
      <c r="D13" s="57" t="str">
        <v>Revise ash system drawings</v>
      </c>
      <c r="E13" s="63">
        <v>3</v>
      </c>
      <c r="F13" s="63">
        <v>110</v>
      </c>
      <c r="G13" s="89">
        <v>330</v>
      </c>
      <c r="N13" s="26"/>
      <c r="O13" s="25"/>
    </row>
    <row r="14" spans="1:15" s="4" customFormat="1" ht="19.899999999999999" customHeight="1" x14ac:dyDescent="0.25">
      <c r="B14" s="87">
        <v>46001</v>
      </c>
      <c r="C14" s="59">
        <v>506</v>
      </c>
      <c r="D14" s="57" t="str">
        <v>Meeting with Worley on inspections and documents</v>
      </c>
      <c r="E14" s="63">
        <v>2</v>
      </c>
      <c r="F14" s="63">
        <v>110</v>
      </c>
      <c r="G14" s="89">
        <v>220</v>
      </c>
    </row>
    <row r="15" spans="1:15" s="4" customFormat="1" ht="19.899999999999999" customHeight="1" x14ac:dyDescent="0.25">
      <c r="B15" s="87">
        <v>46006</v>
      </c>
      <c r="C15" s="59">
        <v>507</v>
      </c>
      <c r="D15" s="57" t="str">
        <v>Travel to ESP Specialties, Folkston GA</v>
      </c>
      <c r="E15" s="63">
        <v>8</v>
      </c>
      <c r="F15" s="63">
        <v>55</v>
      </c>
      <c r="G15" s="89">
        <v>440</v>
      </c>
    </row>
    <row r="16" spans="1:15" s="4" customFormat="1" ht="19.899999999999999" customHeight="1" x14ac:dyDescent="0.25">
      <c r="B16" s="87">
        <v>46007</v>
      </c>
      <c r="C16" s="59">
        <v>507</v>
      </c>
      <c r="D16" s="57" t="str">
        <v>ESP Component inspection</v>
      </c>
      <c r="E16" s="63">
        <v>8</v>
      </c>
      <c r="F16" s="63">
        <v>110</v>
      </c>
      <c r="G16" s="89">
        <v>880</v>
      </c>
      <c r="J16" s="51"/>
    </row>
    <row r="17" spans="2:10" s="4" customFormat="1" ht="19.899999999999999" customHeight="1" x14ac:dyDescent="0.25">
      <c r="B17" s="87">
        <v>46008</v>
      </c>
      <c r="C17" s="59">
        <v>507</v>
      </c>
      <c r="D17" s="57" t="str">
        <v>ESP Specialties inspection report writing</v>
      </c>
      <c r="E17" s="63">
        <v>5</v>
      </c>
      <c r="F17" s="63">
        <v>110</v>
      </c>
      <c r="G17" s="89">
        <v>550</v>
      </c>
      <c r="J17" s="51"/>
    </row>
    <row r="18" spans="2:10" s="4" customFormat="1" ht="19.899999999999999" customHeight="1" x14ac:dyDescent="0.25">
      <c r="B18" s="87"/>
      <c r="C18" s="59"/>
      <c r="D18" s="57"/>
      <c r="E18" s="63"/>
      <c r="F18" s="63"/>
      <c r="G18" s="89"/>
      <c r="J18" s="51"/>
    </row>
    <row r="19" spans="2:10" s="4" customFormat="1" ht="19.899999999999999" customHeight="1" x14ac:dyDescent="0.25">
      <c r="B19" s="87"/>
      <c r="C19" s="59"/>
      <c r="D19" s="57"/>
      <c r="E19" s="63"/>
      <c r="F19" s="63"/>
      <c r="G19" s="89"/>
      <c r="J19" s="47"/>
    </row>
    <row r="20" spans="2:10" s="4" customFormat="1" ht="19.899999999999999" customHeight="1" x14ac:dyDescent="0.25">
      <c r="B20" s="87"/>
      <c r="C20" s="59"/>
      <c r="D20" s="57"/>
      <c r="E20" s="63"/>
      <c r="F20" s="63"/>
      <c r="G20" s="89"/>
    </row>
    <row r="21" spans="2:10" s="4" customFormat="1" ht="19.899999999999999" customHeight="1" x14ac:dyDescent="0.25">
      <c r="B21" s="87"/>
      <c r="C21" s="59"/>
      <c r="D21" s="57"/>
      <c r="E21" s="63"/>
      <c r="F21" s="63"/>
      <c r="G21" s="89"/>
    </row>
    <row r="22" spans="2:10" s="4" customFormat="1" ht="19.899999999999999" customHeight="1" x14ac:dyDescent="0.25">
      <c r="B22" s="87"/>
      <c r="C22" s="59"/>
      <c r="D22" s="57"/>
      <c r="E22" s="63"/>
      <c r="F22" s="63"/>
      <c r="G22" s="89"/>
    </row>
    <row r="23" spans="2:10" s="4" customFormat="1" ht="19.899999999999999" customHeight="1" x14ac:dyDescent="0.25">
      <c r="B23" s="87"/>
      <c r="C23" s="59"/>
      <c r="D23" s="57"/>
      <c r="E23" s="63"/>
      <c r="F23" s="63"/>
      <c r="G23" s="89"/>
    </row>
    <row r="24" spans="2:10" s="4" customFormat="1" ht="19.899999999999999" customHeight="1" x14ac:dyDescent="0.25">
      <c r="B24" s="87"/>
      <c r="C24" s="59"/>
      <c r="D24" s="57"/>
      <c r="E24" s="63"/>
      <c r="F24" s="63"/>
      <c r="G24" s="89"/>
    </row>
    <row r="25" spans="2:10" s="4" customFormat="1" ht="19.899999999999999" customHeight="1" x14ac:dyDescent="0.25">
      <c r="B25" s="87"/>
      <c r="C25" s="59"/>
      <c r="D25" s="57"/>
      <c r="E25" s="63"/>
      <c r="F25" s="63"/>
      <c r="G25" s="89"/>
    </row>
    <row r="26" spans="2:10" s="4" customFormat="1" ht="19.899999999999999" customHeight="1" x14ac:dyDescent="0.25">
      <c r="B26" s="87"/>
      <c r="C26" s="59"/>
      <c r="D26" s="57"/>
      <c r="E26" s="63"/>
      <c r="F26" s="63"/>
      <c r="G26" s="89"/>
    </row>
    <row r="27" spans="2:10" s="4" customFormat="1" ht="19.899999999999999" customHeight="1" x14ac:dyDescent="0.25">
      <c r="B27" s="87"/>
      <c r="C27" s="59"/>
      <c r="D27" s="57"/>
      <c r="E27" s="63"/>
      <c r="F27" s="63"/>
      <c r="G27" s="89"/>
    </row>
    <row r="28" spans="2:10" s="4" customFormat="1" ht="19.899999999999999" customHeight="1" x14ac:dyDescent="0.25">
      <c r="B28" s="87"/>
      <c r="C28" s="59"/>
      <c r="D28" s="57"/>
      <c r="E28" s="63"/>
      <c r="F28" s="63"/>
      <c r="G28" s="89"/>
    </row>
    <row r="29" spans="2:10" s="4" customFormat="1" ht="19.899999999999999" customHeight="1" x14ac:dyDescent="0.25">
      <c r="B29" s="87"/>
      <c r="C29" s="59"/>
      <c r="D29" s="57"/>
      <c r="E29" s="63"/>
      <c r="F29" s="63"/>
      <c r="G29" s="89"/>
    </row>
    <row r="30" spans="2:10" s="4" customFormat="1" ht="19.899999999999999" customHeight="1" x14ac:dyDescent="0.25">
      <c r="B30" s="87"/>
      <c r="C30" s="59"/>
      <c r="D30" s="57"/>
      <c r="E30" s="63"/>
      <c r="F30" s="63"/>
      <c r="G30" s="89"/>
    </row>
    <row r="31" spans="2:10" s="4" customFormat="1" ht="19.899999999999999" customHeight="1" x14ac:dyDescent="0.25">
      <c r="B31" s="87"/>
      <c r="C31" s="59"/>
      <c r="D31" s="57"/>
      <c r="E31" s="63"/>
      <c r="F31" s="63"/>
      <c r="G31" s="89"/>
    </row>
    <row r="32" spans="2:10" s="4" customFormat="1" ht="19.899999999999999" customHeight="1" x14ac:dyDescent="0.25">
      <c r="B32" s="87"/>
      <c r="C32" s="59"/>
      <c r="D32" s="57"/>
      <c r="E32" s="63"/>
      <c r="F32" s="63"/>
      <c r="G32" s="89"/>
    </row>
    <row r="33" spans="2:7" s="4" customFormat="1" ht="19.899999999999999" customHeight="1" x14ac:dyDescent="0.25">
      <c r="B33" s="87"/>
      <c r="C33" s="59"/>
      <c r="D33" s="57"/>
      <c r="E33" s="63"/>
      <c r="F33" s="63"/>
      <c r="G33" s="89"/>
    </row>
    <row r="34" spans="2:7" s="4" customFormat="1" ht="19.899999999999999" customHeight="1" x14ac:dyDescent="0.25">
      <c r="B34" s="87"/>
      <c r="C34" s="59"/>
      <c r="D34" s="57"/>
      <c r="E34" s="63"/>
      <c r="F34" s="63"/>
      <c r="G34" s="89"/>
    </row>
    <row r="35" spans="2:7" s="4" customFormat="1" ht="19.899999999999999" customHeight="1" x14ac:dyDescent="0.25">
      <c r="B35" s="87"/>
      <c r="C35" s="59"/>
      <c r="D35" s="57"/>
      <c r="E35" s="63"/>
      <c r="F35" s="63"/>
      <c r="G35" s="89"/>
    </row>
    <row r="36" spans="2:7" s="4" customFormat="1" ht="19.899999999999999" customHeight="1" x14ac:dyDescent="0.25">
      <c r="B36" s="87"/>
      <c r="C36" s="59"/>
      <c r="D36" s="57"/>
      <c r="E36" s="63"/>
      <c r="F36" s="63"/>
      <c r="G36" s="89"/>
    </row>
    <row r="37" spans="2:7" s="4" customFormat="1" ht="19.899999999999999" customHeight="1" thickBot="1" x14ac:dyDescent="0.3">
      <c r="B37" s="104"/>
      <c r="C37" s="105"/>
      <c r="D37" s="131" t="s">
        <v>168</v>
      </c>
      <c r="E37" s="132"/>
      <c r="F37" s="133"/>
      <c r="G37" s="106">
        <f>SUM(G10:G36)</f>
        <v>3300</v>
      </c>
    </row>
    <row r="38" spans="2:7" s="4" customFormat="1" ht="19.899999999999999" customHeight="1" x14ac:dyDescent="0.25">
      <c r="B38" s="90" cm="1">
        <f t="array" ref="B38:G41">IFERROR(_xlfn.CHOOSECOLS(_xlfn._xlws.FILTER(ExpenseLog[],(ExpenseLog[Invoice '#]=rngInvoice)),1,2,5,6,10,11),"")</f>
        <v>46006</v>
      </c>
      <c r="C38" s="60">
        <v>507</v>
      </c>
      <c r="D38" s="58" t="str">
        <v>Mileage from Crestview to Kingsland</v>
      </c>
      <c r="E38" s="62">
        <v>344</v>
      </c>
      <c r="F38" s="62">
        <v>0.7</v>
      </c>
      <c r="G38" s="91">
        <v>240.79999999999998</v>
      </c>
    </row>
    <row r="39" spans="2:7" s="4" customFormat="1" ht="19.899999999999999" customHeight="1" x14ac:dyDescent="0.25">
      <c r="B39" s="87">
        <v>46006</v>
      </c>
      <c r="C39" s="59">
        <v>507</v>
      </c>
      <c r="D39" s="57" t="str">
        <v>Hotel Accommodations Kingsland</v>
      </c>
      <c r="E39" s="63">
        <v>1</v>
      </c>
      <c r="F39" s="63">
        <v>158.68</v>
      </c>
      <c r="G39" s="89">
        <v>158.68</v>
      </c>
    </row>
    <row r="40" spans="2:7" s="4" customFormat="1" ht="19.899999999999999" customHeight="1" x14ac:dyDescent="0.25">
      <c r="B40" s="87">
        <v>46006</v>
      </c>
      <c r="C40" s="59">
        <v>507</v>
      </c>
      <c r="D40" s="57" t="str">
        <v>PerDiem</v>
      </c>
      <c r="E40" s="63">
        <v>2</v>
      </c>
      <c r="F40" s="63">
        <v>70</v>
      </c>
      <c r="G40" s="89">
        <v>140</v>
      </c>
    </row>
    <row r="41" spans="2:7" s="4" customFormat="1" ht="19.899999999999999" customHeight="1" x14ac:dyDescent="0.25">
      <c r="B41" s="87">
        <v>46007</v>
      </c>
      <c r="C41" s="59">
        <v>507</v>
      </c>
      <c r="D41" s="57" t="str">
        <v>Mileage Hotel to Plant to Crestview</v>
      </c>
      <c r="E41" s="63">
        <v>333</v>
      </c>
      <c r="F41" s="63">
        <v>0.7</v>
      </c>
      <c r="G41" s="89">
        <v>233.1</v>
      </c>
    </row>
    <row r="42" spans="2:7" s="4" customFormat="1" ht="19.899999999999999" customHeight="1" x14ac:dyDescent="0.25">
      <c r="B42" s="87"/>
      <c r="C42" s="59"/>
      <c r="D42" s="57"/>
      <c r="E42" s="63"/>
      <c r="F42" s="63"/>
      <c r="G42" s="89"/>
    </row>
    <row r="43" spans="2:7" s="4" customFormat="1" ht="19.899999999999999" customHeight="1" x14ac:dyDescent="0.25">
      <c r="B43" s="87"/>
      <c r="C43" s="59"/>
      <c r="D43" s="57"/>
      <c r="E43" s="63"/>
      <c r="F43" s="63"/>
      <c r="G43" s="89"/>
    </row>
    <row r="44" spans="2:7" s="4" customFormat="1" ht="19.899999999999999" customHeight="1" x14ac:dyDescent="0.25">
      <c r="B44" s="87"/>
      <c r="C44" s="59"/>
      <c r="D44" s="57"/>
      <c r="E44" s="63"/>
      <c r="F44" s="63"/>
      <c r="G44" s="89"/>
    </row>
    <row r="45" spans="2:7" s="4" customFormat="1" ht="19.899999999999999" customHeight="1" x14ac:dyDescent="0.25">
      <c r="B45" s="87"/>
      <c r="C45" s="59"/>
      <c r="D45" s="57"/>
      <c r="E45" s="63"/>
      <c r="F45" s="63"/>
      <c r="G45" s="89"/>
    </row>
    <row r="46" spans="2:7" s="4" customFormat="1" ht="19.899999999999999" customHeight="1" x14ac:dyDescent="0.25">
      <c r="B46" s="87"/>
      <c r="C46" s="59"/>
      <c r="D46" s="57"/>
      <c r="E46" s="63"/>
      <c r="F46" s="63"/>
      <c r="G46" s="89"/>
    </row>
    <row r="47" spans="2:7" s="4" customFormat="1" ht="19.899999999999999" customHeight="1" x14ac:dyDescent="0.25">
      <c r="B47" s="87"/>
      <c r="C47" s="59"/>
      <c r="D47" s="57"/>
      <c r="E47" s="63"/>
      <c r="F47" s="63"/>
      <c r="G47" s="89"/>
    </row>
    <row r="48" spans="2:7" s="4" customFormat="1" ht="19.899999999999999" customHeight="1" x14ac:dyDescent="0.25">
      <c r="B48" s="87"/>
      <c r="C48" s="59"/>
      <c r="D48" s="57"/>
      <c r="E48" s="63"/>
      <c r="F48" s="63"/>
      <c r="G48" s="89"/>
    </row>
    <row r="49" spans="2:10" s="4" customFormat="1" ht="19.899999999999999" customHeight="1" x14ac:dyDescent="0.25">
      <c r="B49" s="87"/>
      <c r="C49" s="59"/>
      <c r="D49" s="57"/>
      <c r="E49" s="63"/>
      <c r="F49" s="63"/>
      <c r="G49" s="89"/>
    </row>
    <row r="50" spans="2:10" s="4" customFormat="1" ht="19.899999999999999" customHeight="1" x14ac:dyDescent="0.25">
      <c r="B50" s="87"/>
      <c r="C50" s="59"/>
      <c r="D50" s="57"/>
      <c r="E50" s="63"/>
      <c r="F50" s="63"/>
      <c r="G50" s="89"/>
    </row>
    <row r="51" spans="2:10" s="4" customFormat="1" ht="19.899999999999999" customHeight="1" x14ac:dyDescent="0.25">
      <c r="B51" s="87"/>
      <c r="C51" s="59"/>
      <c r="D51" s="57"/>
      <c r="E51" s="63"/>
      <c r="F51" s="63"/>
      <c r="G51" s="89"/>
    </row>
    <row r="52" spans="2:10" s="4" customFormat="1" ht="19.899999999999999" customHeight="1" x14ac:dyDescent="0.25">
      <c r="B52" s="87"/>
      <c r="C52" s="59"/>
      <c r="D52" s="57"/>
      <c r="E52" s="63"/>
      <c r="F52" s="63"/>
      <c r="G52" s="89"/>
    </row>
    <row r="53" spans="2:10" s="4" customFormat="1" ht="19.899999999999999" customHeight="1" x14ac:dyDescent="0.25">
      <c r="B53" s="87"/>
      <c r="C53" s="59"/>
      <c r="D53" s="57"/>
      <c r="E53" s="63"/>
      <c r="F53" s="63"/>
      <c r="G53" s="89"/>
    </row>
    <row r="54" spans="2:10" s="4" customFormat="1" ht="19.899999999999999" customHeight="1" x14ac:dyDescent="0.25">
      <c r="B54" s="87"/>
      <c r="C54" s="59"/>
      <c r="D54" s="57"/>
      <c r="E54" s="63"/>
      <c r="F54" s="63"/>
      <c r="G54" s="89"/>
    </row>
    <row r="55" spans="2:10" s="4" customFormat="1" ht="19.899999999999999" customHeight="1" x14ac:dyDescent="0.25">
      <c r="B55" s="87"/>
      <c r="C55" s="59"/>
      <c r="D55" s="57"/>
      <c r="E55" s="63"/>
      <c r="F55" s="63"/>
      <c r="G55" s="89"/>
    </row>
    <row r="56" spans="2:10" s="4" customFormat="1" ht="19.899999999999999" customHeight="1" x14ac:dyDescent="0.25">
      <c r="B56" s="87"/>
      <c r="C56" s="59"/>
      <c r="D56" s="57"/>
      <c r="E56" s="63"/>
      <c r="F56" s="63"/>
      <c r="G56" s="89"/>
    </row>
    <row r="57" spans="2:10" s="4" customFormat="1" ht="19.899999999999999" customHeight="1" x14ac:dyDescent="0.25">
      <c r="B57" s="87"/>
      <c r="C57" s="59"/>
      <c r="D57" s="57"/>
      <c r="E57" s="63"/>
      <c r="F57" s="63"/>
      <c r="G57" s="89"/>
    </row>
    <row r="58" spans="2:10" s="4" customFormat="1" ht="19.899999999999999" customHeight="1" thickBot="1" x14ac:dyDescent="0.3">
      <c r="B58" s="104"/>
      <c r="C58" s="105"/>
      <c r="D58" s="131" t="s">
        <v>167</v>
      </c>
      <c r="E58" s="132"/>
      <c r="F58" s="133"/>
      <c r="G58" s="106">
        <f>SUM(G38:G57)</f>
        <v>772.58</v>
      </c>
      <c r="J58" s="51"/>
    </row>
    <row r="59" spans="2:10" s="4" customFormat="1" ht="18.75" customHeight="1" x14ac:dyDescent="0.25">
      <c r="B59" s="92"/>
      <c r="C59" s="93"/>
      <c r="D59" s="6"/>
      <c r="E59" s="6"/>
      <c r="F59" s="111" t="s">
        <v>176</v>
      </c>
      <c r="G59" s="94">
        <f>G58+G37</f>
        <v>4072.58</v>
      </c>
      <c r="J59" s="51"/>
    </row>
    <row r="60" spans="2:10" s="4" customFormat="1" ht="19.149999999999999" customHeight="1" x14ac:dyDescent="0.25">
      <c r="B60" s="92"/>
      <c r="C60" s="93"/>
      <c r="D60" s="6"/>
      <c r="E60" s="6"/>
      <c r="F60" s="65" t="s">
        <v>14</v>
      </c>
      <c r="G60" s="95">
        <v>0</v>
      </c>
      <c r="J60" s="51"/>
    </row>
    <row r="61" spans="2:10" s="4" customFormat="1" ht="19.149999999999999" customHeight="1" x14ac:dyDescent="0.25">
      <c r="B61" s="92"/>
      <c r="C61" s="93"/>
      <c r="D61" s="6"/>
      <c r="E61" s="6"/>
      <c r="F61" s="65" t="s">
        <v>15</v>
      </c>
      <c r="G61" s="96">
        <f>G59*G60</f>
        <v>0</v>
      </c>
      <c r="J61" s="51"/>
    </row>
    <row r="62" spans="2:10" s="4" customFormat="1" ht="19.149999999999999" customHeight="1" x14ac:dyDescent="0.25">
      <c r="B62" s="92"/>
      <c r="C62" s="97"/>
      <c r="D62" s="93"/>
      <c r="E62" s="93"/>
      <c r="F62" s="65" t="s">
        <v>16</v>
      </c>
      <c r="G62" s="96"/>
      <c r="J62" s="51"/>
    </row>
    <row r="63" spans="2:10" s="4" customFormat="1" ht="19.149999999999999" customHeight="1" thickBot="1" x14ac:dyDescent="0.3">
      <c r="B63" s="123" t="str">
        <f>"Make all checks payable to "&amp;CompanyName&amp;"."</f>
        <v>Make all checks payable to Air Advantage, Inc..</v>
      </c>
      <c r="C63" s="124"/>
      <c r="D63" s="124"/>
      <c r="E63" s="125"/>
      <c r="F63" s="110" t="s">
        <v>338</v>
      </c>
      <c r="G63" s="96"/>
      <c r="J63" s="51"/>
    </row>
    <row r="64" spans="2:10" ht="33.75" customHeight="1" thickTop="1" x14ac:dyDescent="0.25">
      <c r="B64" s="120" t="s">
        <v>27</v>
      </c>
      <c r="C64" s="121"/>
      <c r="D64" s="121"/>
      <c r="E64" s="122"/>
      <c r="F64" s="98" t="s">
        <v>1</v>
      </c>
      <c r="G64" s="99">
        <f>(G59+G61+G62)-G63</f>
        <v>4072.58</v>
      </c>
      <c r="J64" s="52"/>
    </row>
    <row r="65" spans="10:10" ht="33.950000000000003" customHeight="1" x14ac:dyDescent="0.25">
      <c r="J65" s="52"/>
    </row>
    <row r="66" spans="10:10" ht="33.950000000000003" customHeight="1" x14ac:dyDescent="0.25">
      <c r="J66" s="52"/>
    </row>
    <row r="67" spans="10:10" ht="33.950000000000003" customHeight="1" x14ac:dyDescent="0.25">
      <c r="J67" s="52"/>
    </row>
    <row r="68" spans="10:10" ht="33.950000000000003" customHeight="1" x14ac:dyDescent="0.25">
      <c r="J68" s="52"/>
    </row>
    <row r="69" spans="10:10" ht="33.950000000000003" customHeight="1" x14ac:dyDescent="0.25">
      <c r="J69" s="52"/>
    </row>
    <row r="70" spans="10:10" ht="33.950000000000003" customHeight="1" x14ac:dyDescent="0.25">
      <c r="J70" s="52"/>
    </row>
    <row r="71" spans="10:10" ht="33.950000000000003" customHeight="1" x14ac:dyDescent="0.25">
      <c r="J71" s="52"/>
    </row>
    <row r="72" spans="10:10" ht="33.950000000000003" customHeight="1" x14ac:dyDescent="0.25">
      <c r="J72" s="52"/>
    </row>
    <row r="73" spans="10:10" ht="33.950000000000003" customHeight="1" x14ac:dyDescent="0.25">
      <c r="J73" s="52"/>
    </row>
    <row r="74" spans="10:10" ht="33.950000000000003" customHeight="1" x14ac:dyDescent="0.25">
      <c r="J74" s="52"/>
    </row>
    <row r="75" spans="10:10" ht="33.950000000000003" customHeight="1" x14ac:dyDescent="0.25">
      <c r="J75" s="52"/>
    </row>
  </sheetData>
  <sheetProtection formatCells="0" formatColumns="0" formatRows="0" selectLockedCells="1" sort="0"/>
  <mergeCells count="13">
    <mergeCell ref="B2:D2"/>
    <mergeCell ref="B3:D3"/>
    <mergeCell ref="E3:G3"/>
    <mergeCell ref="E2:G2"/>
    <mergeCell ref="B64:E64"/>
    <mergeCell ref="B63:E63"/>
    <mergeCell ref="C7:D7"/>
    <mergeCell ref="C8:D8"/>
    <mergeCell ref="C4:D4"/>
    <mergeCell ref="C5:E5"/>
    <mergeCell ref="C6:D6"/>
    <mergeCell ref="D37:F37"/>
    <mergeCell ref="D58:F58"/>
  </mergeCells>
  <phoneticPr fontId="1" type="noConversion"/>
  <conditionalFormatting sqref="B37:D37 B38:F57 B58:D58 F59:F63">
    <cfRule type="expression" dxfId="6" priority="8">
      <formula>MOD(ROW(),2)=0</formula>
    </cfRule>
  </conditionalFormatting>
  <conditionalFormatting sqref="B10:F36">
    <cfRule type="expression" dxfId="5" priority="1">
      <formula>MOD(ROW(),2)=0</formula>
    </cfRule>
  </conditionalFormatting>
  <conditionalFormatting sqref="G10:G58">
    <cfRule type="expression" dxfId="4" priority="6">
      <formula>MOD(ROW(),2)=1</formula>
    </cfRule>
  </conditionalFormatting>
  <conditionalFormatting sqref="G10:G63">
    <cfRule type="expression" dxfId="3" priority="3">
      <formula>MOD(ROW(),2)=0</formula>
    </cfRule>
  </conditionalFormatting>
  <conditionalFormatting sqref="G59:G63">
    <cfRule type="expression" dxfId="2" priority="2">
      <formula>MOD(ROW(),2)=1</formula>
    </cfRule>
  </conditionalFormatting>
  <dataValidations count="2">
    <dataValidation type="list" showInputMessage="1" showErrorMessage="1" errorTitle="Invalid Data" error="Please select and Invoice number from this list. If your invoice isn't shown, check the worksheet named Invoices - Main." sqref="G4" xr:uid="{00000000-0002-0000-0000-000000000000}">
      <formula1>Invoice_No</formula1>
    </dataValidation>
    <dataValidation type="date" allowBlank="1" showInputMessage="1" showErrorMessage="1" sqref="O13 G5" xr:uid="{81149762-97D9-4761-AACC-A3AD5AB39D71}">
      <formula1>36526</formula1>
      <formula2>55153</formula2>
    </dataValidation>
  </dataValidations>
  <hyperlinks>
    <hyperlink ref="E3" r:id="rId1" display="tmallory@outlook.com" xr:uid="{772590CC-CCD3-47F8-8E00-B7DDC5B49649}"/>
  </hyperlinks>
  <printOptions horizontalCentered="1"/>
  <pageMargins left="0.5" right="0.5" top="0.5" bottom="0.5" header="0" footer="0"/>
  <pageSetup scale="95" fitToWidth="0" fitToHeight="0" orientation="portrait" errors="blank" horizontalDpi="300" verticalDpi="300" r:id="rId2"/>
  <headerFooter differentFirst="1" alignWithMargins="0"/>
  <rowBreaks count="1" manualBreakCount="1">
    <brk id="37" min="1" max="6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theme="4" tint="-0.249977111117893"/>
    <pageSetUpPr autoPageBreaks="0" fitToPage="1"/>
  </sheetPr>
  <dimension ref="A1:J25"/>
  <sheetViews>
    <sheetView showGridLines="0" zoomScaleNormal="100" workbookViewId="0">
      <pane ySplit="3" topLeftCell="A4" activePane="bottomLeft" state="frozen"/>
      <selection pane="bottomLeft" activeCell="B8" sqref="B8"/>
    </sheetView>
  </sheetViews>
  <sheetFormatPr defaultColWidth="9" defaultRowHeight="33.950000000000003" customHeight="1" x14ac:dyDescent="0.25"/>
  <cols>
    <col min="1" max="1" width="2.85546875" style="11" customWidth="1"/>
    <col min="2" max="2" width="44.7109375" style="9" customWidth="1"/>
    <col min="3" max="3" width="22.28515625" style="9" customWidth="1"/>
    <col min="4" max="4" width="28.42578125" style="9" customWidth="1"/>
    <col min="5" max="5" width="17.28515625" style="9" customWidth="1"/>
    <col min="6" max="6" width="11.85546875" style="13" customWidth="1"/>
    <col min="7" max="7" width="15.7109375" style="10" customWidth="1"/>
    <col min="8" max="8" width="14.7109375" style="11" customWidth="1"/>
    <col min="9" max="9" width="40" style="11" customWidth="1"/>
    <col min="10" max="10" width="15.28515625" style="12" customWidth="1"/>
    <col min="11" max="11" width="2.85546875" customWidth="1"/>
  </cols>
  <sheetData>
    <row r="1" spans="2:10" ht="30.95" customHeight="1" x14ac:dyDescent="0.25"/>
    <row r="2" spans="2:10" ht="29.1" customHeight="1" x14ac:dyDescent="0.25">
      <c r="B2" s="2" t="s">
        <v>21</v>
      </c>
    </row>
    <row r="3" spans="2:10" s="8" customFormat="1" ht="24" customHeight="1" x14ac:dyDescent="0.25">
      <c r="B3" s="14" t="s">
        <v>2</v>
      </c>
      <c r="C3" s="14" t="s">
        <v>3</v>
      </c>
      <c r="D3" s="14" t="s">
        <v>4</v>
      </c>
      <c r="E3" s="14" t="s">
        <v>5</v>
      </c>
      <c r="F3" s="14" t="s">
        <v>6</v>
      </c>
      <c r="G3" s="14" t="s">
        <v>24</v>
      </c>
      <c r="H3" s="14" t="s">
        <v>0</v>
      </c>
      <c r="I3" s="22" t="s">
        <v>20</v>
      </c>
      <c r="J3" s="14" t="s">
        <v>10</v>
      </c>
    </row>
    <row r="4" spans="2:10" ht="24" customHeight="1" x14ac:dyDescent="0.25">
      <c r="B4" s="16" t="s">
        <v>36</v>
      </c>
      <c r="C4" s="16" t="s">
        <v>37</v>
      </c>
      <c r="D4" s="16" t="s">
        <v>43</v>
      </c>
      <c r="E4" s="16" t="s">
        <v>38</v>
      </c>
      <c r="F4" s="18" t="s">
        <v>39</v>
      </c>
      <c r="G4" s="34" t="s">
        <v>44</v>
      </c>
      <c r="H4" s="19" t="s">
        <v>40</v>
      </c>
      <c r="I4" s="33" t="s">
        <v>41</v>
      </c>
      <c r="J4" s="19"/>
    </row>
    <row r="5" spans="2:10" ht="24" customHeight="1" x14ac:dyDescent="0.25">
      <c r="B5" s="16" t="s">
        <v>52</v>
      </c>
      <c r="C5" s="16" t="s">
        <v>51</v>
      </c>
      <c r="D5" s="16" t="s">
        <v>55</v>
      </c>
      <c r="E5" s="16" t="s">
        <v>56</v>
      </c>
      <c r="F5" s="18" t="s">
        <v>57</v>
      </c>
      <c r="G5" s="34">
        <v>32520</v>
      </c>
      <c r="H5" s="19" t="s">
        <v>53</v>
      </c>
      <c r="I5" s="33" t="s">
        <v>54</v>
      </c>
      <c r="J5" s="19"/>
    </row>
    <row r="6" spans="2:10" ht="24" customHeight="1" x14ac:dyDescent="0.25">
      <c r="B6" s="16" t="s">
        <v>59</v>
      </c>
      <c r="C6" s="16" t="s">
        <v>60</v>
      </c>
      <c r="D6" s="16" t="s">
        <v>62</v>
      </c>
      <c r="E6" s="16" t="s">
        <v>63</v>
      </c>
      <c r="F6" s="18" t="s">
        <v>61</v>
      </c>
      <c r="G6" s="34">
        <v>60062</v>
      </c>
      <c r="H6" s="19" t="s">
        <v>64</v>
      </c>
      <c r="I6" s="33" t="s">
        <v>65</v>
      </c>
      <c r="J6" s="19"/>
    </row>
    <row r="7" spans="2:10" ht="24" customHeight="1" x14ac:dyDescent="0.25">
      <c r="B7" s="16" t="s">
        <v>138</v>
      </c>
      <c r="C7" s="16" t="s">
        <v>138</v>
      </c>
      <c r="D7" s="16" t="s">
        <v>244</v>
      </c>
      <c r="E7" s="16" t="s">
        <v>139</v>
      </c>
      <c r="F7" s="18" t="s">
        <v>57</v>
      </c>
      <c r="G7" s="34">
        <v>32536</v>
      </c>
      <c r="H7" s="19" t="s">
        <v>140</v>
      </c>
      <c r="I7" s="33" t="s">
        <v>141</v>
      </c>
      <c r="J7" s="19"/>
    </row>
    <row r="8" spans="2:10" ht="24" customHeight="1" x14ac:dyDescent="0.25">
      <c r="B8" s="16" t="s">
        <v>231</v>
      </c>
      <c r="C8" s="16" t="s">
        <v>240</v>
      </c>
      <c r="D8" s="16" t="s">
        <v>241</v>
      </c>
      <c r="E8" s="16" t="s">
        <v>242</v>
      </c>
      <c r="F8" s="18" t="s">
        <v>61</v>
      </c>
      <c r="G8" s="34">
        <v>61301</v>
      </c>
      <c r="H8" s="19" t="s">
        <v>243</v>
      </c>
      <c r="I8" s="33" t="s">
        <v>245</v>
      </c>
      <c r="J8" s="19"/>
    </row>
    <row r="9" spans="2:10" ht="24" customHeight="1" x14ac:dyDescent="0.25">
      <c r="B9" s="16"/>
      <c r="C9" s="16"/>
      <c r="D9" s="16"/>
      <c r="E9" s="16"/>
      <c r="F9" s="18"/>
      <c r="G9" s="34"/>
      <c r="H9" s="19"/>
      <c r="I9" s="20"/>
      <c r="J9" s="19"/>
    </row>
    <row r="10" spans="2:10" ht="24" customHeight="1" x14ac:dyDescent="0.25">
      <c r="B10" s="16"/>
      <c r="C10" s="16"/>
      <c r="D10" s="16"/>
      <c r="E10" s="16"/>
      <c r="F10" s="18"/>
      <c r="G10" s="34"/>
      <c r="H10" s="19"/>
      <c r="I10" s="20"/>
      <c r="J10" s="19"/>
    </row>
    <row r="11" spans="2:10" ht="24" customHeight="1" x14ac:dyDescent="0.25">
      <c r="B11" s="16"/>
      <c r="C11" s="16"/>
      <c r="D11" s="16"/>
      <c r="E11" s="16"/>
      <c r="F11" s="18"/>
      <c r="G11" s="34"/>
      <c r="H11" s="19"/>
      <c r="I11" s="20"/>
      <c r="J11" s="19"/>
    </row>
    <row r="12" spans="2:10" ht="24" customHeight="1" x14ac:dyDescent="0.25">
      <c r="B12" s="16"/>
      <c r="C12" s="16"/>
      <c r="D12" s="16"/>
      <c r="E12" s="16"/>
      <c r="F12" s="18"/>
      <c r="G12" s="34"/>
      <c r="H12" s="19"/>
      <c r="I12" s="20"/>
      <c r="J12" s="19"/>
    </row>
    <row r="13" spans="2:10" ht="24" customHeight="1" x14ac:dyDescent="0.25">
      <c r="B13" s="16"/>
      <c r="C13" s="16"/>
      <c r="D13" s="16"/>
      <c r="E13" s="16"/>
      <c r="F13" s="18"/>
      <c r="G13" s="34"/>
      <c r="H13" s="19"/>
      <c r="I13" s="20"/>
      <c r="J13" s="19"/>
    </row>
    <row r="14" spans="2:10" ht="24" customHeight="1" x14ac:dyDescent="0.25">
      <c r="B14" s="16"/>
      <c r="C14" s="16"/>
      <c r="D14" s="16"/>
      <c r="E14" s="16"/>
      <c r="F14" s="18"/>
      <c r="G14" s="34"/>
      <c r="H14" s="19"/>
      <c r="I14" s="20"/>
      <c r="J14" s="19"/>
    </row>
    <row r="15" spans="2:10" ht="24" customHeight="1" x14ac:dyDescent="0.25">
      <c r="B15" s="16"/>
      <c r="C15" s="16"/>
      <c r="D15" s="16"/>
      <c r="E15" s="16"/>
      <c r="F15" s="18"/>
      <c r="G15" s="34"/>
      <c r="H15" s="19"/>
      <c r="I15" s="20"/>
      <c r="J15" s="19"/>
    </row>
    <row r="16" spans="2:10" ht="24" customHeight="1" x14ac:dyDescent="0.25">
      <c r="B16" s="16"/>
      <c r="C16" s="16"/>
      <c r="D16" s="16"/>
      <c r="E16" s="16"/>
      <c r="F16" s="18"/>
      <c r="G16" s="34"/>
      <c r="H16" s="19"/>
      <c r="I16" s="20"/>
      <c r="J16" s="19"/>
    </row>
    <row r="17" spans="2:10" ht="24" customHeight="1" x14ac:dyDescent="0.25">
      <c r="B17" s="16"/>
      <c r="C17" s="16"/>
      <c r="D17" s="16"/>
      <c r="E17" s="16"/>
      <c r="F17" s="18"/>
      <c r="G17" s="34"/>
      <c r="H17" s="19"/>
      <c r="I17" s="20"/>
      <c r="J17" s="19"/>
    </row>
    <row r="18" spans="2:10" ht="24" customHeight="1" x14ac:dyDescent="0.25">
      <c r="B18" s="16"/>
      <c r="C18" s="16"/>
      <c r="D18" s="16"/>
      <c r="E18" s="16"/>
      <c r="F18" s="18"/>
      <c r="G18" s="34"/>
      <c r="H18" s="19"/>
      <c r="I18" s="20"/>
      <c r="J18" s="19"/>
    </row>
    <row r="19" spans="2:10" ht="24" customHeight="1" x14ac:dyDescent="0.25">
      <c r="B19" s="16"/>
      <c r="C19" s="16"/>
      <c r="D19" s="16"/>
      <c r="E19" s="16"/>
      <c r="F19" s="18"/>
      <c r="G19" s="34"/>
      <c r="H19" s="19"/>
      <c r="I19" s="20"/>
      <c r="J19" s="19"/>
    </row>
    <row r="20" spans="2:10" ht="24" customHeight="1" x14ac:dyDescent="0.25">
      <c r="B20" s="16"/>
      <c r="C20" s="16"/>
      <c r="D20" s="16"/>
      <c r="E20" s="16"/>
      <c r="F20" s="18"/>
      <c r="G20" s="34"/>
      <c r="H20" s="19"/>
      <c r="I20" s="20"/>
      <c r="J20" s="19"/>
    </row>
    <row r="21" spans="2:10" ht="24" customHeight="1" x14ac:dyDescent="0.25">
      <c r="B21" s="16"/>
      <c r="C21" s="16"/>
      <c r="D21" s="16"/>
      <c r="E21" s="16"/>
      <c r="F21" s="18"/>
      <c r="G21" s="34"/>
      <c r="H21" s="19"/>
      <c r="I21" s="20"/>
      <c r="J21" s="19"/>
    </row>
    <row r="22" spans="2:10" ht="24" customHeight="1" x14ac:dyDescent="0.25">
      <c r="B22" s="16"/>
      <c r="C22" s="16"/>
      <c r="D22" s="16"/>
      <c r="E22" s="16"/>
      <c r="F22" s="18"/>
      <c r="G22" s="34"/>
      <c r="H22" s="19"/>
      <c r="I22" s="20"/>
      <c r="J22" s="19"/>
    </row>
    <row r="23" spans="2:10" ht="24" customHeight="1" x14ac:dyDescent="0.25">
      <c r="B23" s="16"/>
      <c r="C23" s="16"/>
      <c r="D23" s="16"/>
      <c r="E23" s="16"/>
      <c r="F23" s="18"/>
      <c r="G23" s="5"/>
      <c r="H23" s="19"/>
      <c r="I23" s="20"/>
      <c r="J23" s="19"/>
    </row>
    <row r="24" spans="2:10" ht="24" customHeight="1" x14ac:dyDescent="0.25">
      <c r="B24" s="16"/>
      <c r="C24" s="16"/>
      <c r="D24" s="16"/>
      <c r="E24" s="16"/>
      <c r="F24" s="18"/>
      <c r="G24" s="5"/>
      <c r="H24" s="19"/>
      <c r="I24" s="20"/>
      <c r="J24" s="19"/>
    </row>
    <row r="25" spans="2:10" ht="24" customHeight="1" x14ac:dyDescent="0.25">
      <c r="B25" s="16"/>
      <c r="C25" s="16"/>
      <c r="D25" s="16"/>
      <c r="E25" s="16"/>
      <c r="F25" s="18"/>
      <c r="G25" s="5"/>
      <c r="H25" s="19"/>
      <c r="I25" s="20"/>
      <c r="J25" s="19"/>
    </row>
  </sheetData>
  <sheetProtection formatCells="0" formatColumns="0" formatRows="0" insertColumns="0" insertRows="0" insertHyperlinks="0" deleteColumns="0" deleteRows="0" selectLockedCells="1" sort="0" autoFilter="0" pivotTables="0"/>
  <conditionalFormatting sqref="B4:B25">
    <cfRule type="duplicateValues" dxfId="1" priority="48"/>
  </conditionalFormatting>
  <hyperlinks>
    <hyperlink ref="I4" r:id="rId1" xr:uid="{00000000-0004-0000-0100-000000000000}"/>
    <hyperlink ref="I5" r:id="rId2" xr:uid="{340DC725-45BF-467B-841E-0A9124BA957A}"/>
    <hyperlink ref="I6" r:id="rId3" xr:uid="{91F409CB-FBED-4D23-8351-7AA6E9477098}"/>
    <hyperlink ref="I7" r:id="rId4" xr:uid="{7040BDD2-91B5-4F04-9CF1-4D467E0EFB1C}"/>
    <hyperlink ref="I8" r:id="rId5" xr:uid="{33A51530-195F-4F33-BF72-66A28A4E8AE4}"/>
  </hyperlinks>
  <printOptions horizontalCentered="1"/>
  <pageMargins left="0.25" right="0.25" top="0.75" bottom="0.75" header="0.3" footer="0.3"/>
  <pageSetup scale="74" fitToHeight="0" orientation="landscape" r:id="rId6"/>
  <headerFooter differentFirst="1">
    <oddFooter>Page &amp;P of &amp;N</oddFooter>
  </headerFooter>
  <drawing r:id="rId7"/>
  <tableParts count="1">
    <tablePart r:id="rId8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theme="4"/>
    <pageSetUpPr autoPageBreaks="0" fitToPage="1"/>
  </sheetPr>
  <dimension ref="A1:J61"/>
  <sheetViews>
    <sheetView showGridLines="0" zoomScaleNormal="100" workbookViewId="0">
      <pane ySplit="3" topLeftCell="A10" activePane="bottomLeft" state="frozen"/>
      <selection pane="bottomLeft" activeCell="F40" sqref="F40"/>
    </sheetView>
  </sheetViews>
  <sheetFormatPr defaultColWidth="9" defaultRowHeight="33.950000000000003" customHeight="1" x14ac:dyDescent="0.25"/>
  <cols>
    <col min="1" max="1" width="2.85546875" customWidth="1"/>
    <col min="2" max="2" width="12.5703125" customWidth="1"/>
    <col min="3" max="3" width="28.28515625" customWidth="1"/>
    <col min="4" max="4" width="44.28515625" customWidth="1"/>
    <col min="5" max="5" width="10.42578125" hidden="1" customWidth="1"/>
    <col min="6" max="6" width="15.85546875" style="1" customWidth="1"/>
    <col min="7" max="7" width="11.140625" style="1" customWidth="1"/>
    <col min="8" max="9" width="14.28515625" style="1" customWidth="1"/>
    <col min="10" max="10" width="29.85546875" customWidth="1"/>
    <col min="11" max="11" width="2.85546875" customWidth="1"/>
  </cols>
  <sheetData>
    <row r="1" spans="1:10" ht="30.95" customHeight="1" x14ac:dyDescent="0.25">
      <c r="A1" s="11"/>
    </row>
    <row r="2" spans="1:10" ht="29.1" customHeight="1" x14ac:dyDescent="0.25">
      <c r="B2" s="2" t="s">
        <v>31</v>
      </c>
    </row>
    <row r="3" spans="1:10" ht="24" customHeight="1" x14ac:dyDescent="0.25">
      <c r="B3" s="32" t="s">
        <v>42</v>
      </c>
      <c r="C3" s="32" t="s">
        <v>23</v>
      </c>
      <c r="D3" s="32" t="s">
        <v>7</v>
      </c>
      <c r="E3" s="32" t="s">
        <v>161</v>
      </c>
      <c r="F3" s="32" t="s">
        <v>32</v>
      </c>
      <c r="G3" s="32" t="s">
        <v>33</v>
      </c>
      <c r="H3" s="32" t="s">
        <v>34</v>
      </c>
      <c r="I3" s="32" t="s">
        <v>209</v>
      </c>
      <c r="J3" s="32" t="s">
        <v>9</v>
      </c>
    </row>
    <row r="4" spans="1:10" ht="24" customHeight="1" x14ac:dyDescent="0.25">
      <c r="B4" s="42"/>
      <c r="C4" s="15"/>
      <c r="D4" s="5"/>
      <c r="E4" s="5" t="str">
        <f>_xlfn.CONCAT(ProjectsList[[#This Row],[Project No]]," - ",ProjectsList[[#This Row],[Project Description]])</f>
        <v xml:space="preserve"> - </v>
      </c>
      <c r="F4" s="31">
        <v>0</v>
      </c>
      <c r="G4" s="17">
        <f>ProjectsList[[#This Row],[Straight Time]]*1.5</f>
        <v>0</v>
      </c>
      <c r="H4" s="17">
        <f>ProjectsList[[#This Row],[Straight Time]]*0.5</f>
        <v>0</v>
      </c>
      <c r="I4" s="31">
        <v>0</v>
      </c>
      <c r="J4" s="16"/>
    </row>
    <row r="5" spans="1:10" ht="24" customHeight="1" x14ac:dyDescent="0.25">
      <c r="B5" s="42">
        <v>486</v>
      </c>
      <c r="C5" s="15" t="s">
        <v>36</v>
      </c>
      <c r="D5" s="5" t="s">
        <v>71</v>
      </c>
      <c r="E5" s="5" t="str">
        <f>_xlfn.CONCAT(ProjectsList[[#This Row],[Project No]]," - ",ProjectsList[[#This Row],[Project Description]])</f>
        <v>486 - Marathon - WESP</v>
      </c>
      <c r="F5" s="31">
        <v>110</v>
      </c>
      <c r="G5" s="17">
        <f>ProjectsList[[#This Row],[Straight Time]]*1.5</f>
        <v>165</v>
      </c>
      <c r="H5" s="17">
        <f>ProjectsList[[#This Row],[Straight Time]]*0.5</f>
        <v>55</v>
      </c>
      <c r="I5" s="31">
        <v>0</v>
      </c>
      <c r="J5" s="16"/>
    </row>
    <row r="6" spans="1:10" ht="24" customHeight="1" x14ac:dyDescent="0.25">
      <c r="B6" s="42">
        <v>488</v>
      </c>
      <c r="C6" s="15" t="s">
        <v>36</v>
      </c>
      <c r="D6" s="5" t="s">
        <v>66</v>
      </c>
      <c r="E6" s="5" t="str">
        <f>_xlfn.CONCAT(ProjectsList[[#This Row],[Project No]]," - ",ProjectsList[[#This Row],[Project Description]])</f>
        <v>488 - New Indy - Catawba Inlet Field Rebuild</v>
      </c>
      <c r="F6" s="31">
        <v>110</v>
      </c>
      <c r="G6" s="17">
        <f>ProjectsList[[#This Row],[Straight Time]]*1.5</f>
        <v>165</v>
      </c>
      <c r="H6" s="17">
        <f>ProjectsList[[#This Row],[Straight Time]]*0.5</f>
        <v>55</v>
      </c>
      <c r="I6" s="31">
        <v>0</v>
      </c>
      <c r="J6" s="16"/>
    </row>
    <row r="7" spans="1:10" ht="24" customHeight="1" x14ac:dyDescent="0.25">
      <c r="B7" s="42">
        <v>489</v>
      </c>
      <c r="C7" s="15" t="s">
        <v>36</v>
      </c>
      <c r="D7" s="5" t="s">
        <v>67</v>
      </c>
      <c r="E7" s="5" t="str">
        <f>_xlfn.CONCAT(ProjectsList[[#This Row],[Project No]]," - ",ProjectsList[[#This Row],[Project Description]])</f>
        <v>489 - Holcim Lafarge - Joppa</v>
      </c>
      <c r="F7" s="31">
        <v>110</v>
      </c>
      <c r="G7" s="17">
        <f>ProjectsList[[#This Row],[Straight Time]]*1.5</f>
        <v>165</v>
      </c>
      <c r="H7" s="17">
        <f>ProjectsList[[#This Row],[Straight Time]]*0.5</f>
        <v>55</v>
      </c>
      <c r="I7" s="31">
        <v>0</v>
      </c>
      <c r="J7" s="16"/>
    </row>
    <row r="8" spans="1:10" ht="24" customHeight="1" x14ac:dyDescent="0.25">
      <c r="B8" s="42">
        <v>490</v>
      </c>
      <c r="C8" s="15" t="s">
        <v>36</v>
      </c>
      <c r="D8" s="5" t="s">
        <v>69</v>
      </c>
      <c r="E8" s="5" t="str">
        <f>_xlfn.CONCAT(ProjectsList[[#This Row],[Project No]]," - ",ProjectsList[[#This Row],[Project Description]])</f>
        <v>490 - LCRA - Fayette Power Project - Unit 2</v>
      </c>
      <c r="F8" s="31">
        <v>110</v>
      </c>
      <c r="G8" s="17">
        <f>ProjectsList[[#This Row],[Straight Time]]*1.5</f>
        <v>165</v>
      </c>
      <c r="H8" s="17">
        <f>ProjectsList[[#This Row],[Straight Time]]*0.5</f>
        <v>55</v>
      </c>
      <c r="I8" s="31">
        <v>0</v>
      </c>
      <c r="J8" s="16"/>
    </row>
    <row r="9" spans="1:10" ht="24" customHeight="1" x14ac:dyDescent="0.25">
      <c r="B9" s="42">
        <v>491</v>
      </c>
      <c r="C9" s="15" t="s">
        <v>36</v>
      </c>
      <c r="D9" s="5" t="s">
        <v>102</v>
      </c>
      <c r="E9" s="5" t="str">
        <f>_xlfn.CONCAT(ProjectsList[[#This Row],[Project No]]," - ",ProjectsList[[#This Row],[Project Description]])</f>
        <v>491 - Suncor - Engineering</v>
      </c>
      <c r="F9" s="31">
        <v>110</v>
      </c>
      <c r="G9" s="17">
        <f>ProjectsList[[#This Row],[Straight Time]]*1.5</f>
        <v>165</v>
      </c>
      <c r="H9" s="17">
        <f>ProjectsList[[#This Row],[Straight Time]]*0.5</f>
        <v>55</v>
      </c>
      <c r="I9" s="31">
        <v>0</v>
      </c>
      <c r="J9" s="16"/>
    </row>
    <row r="10" spans="1:10" ht="24" customHeight="1" x14ac:dyDescent="0.25">
      <c r="B10" s="42">
        <v>492</v>
      </c>
      <c r="C10" s="15" t="s">
        <v>36</v>
      </c>
      <c r="D10" s="5" t="s">
        <v>85</v>
      </c>
      <c r="E10" s="5" t="str">
        <f>_xlfn.CONCAT(ProjectsList[[#This Row],[Project No]]," - ",ProjectsList[[#This Row],[Project Description]])</f>
        <v>492 - Proposal Writing and office work</v>
      </c>
      <c r="F10" s="31">
        <v>110</v>
      </c>
      <c r="G10" s="17">
        <f>ProjectsList[[#This Row],[Straight Time]]*1.5</f>
        <v>165</v>
      </c>
      <c r="H10" s="17">
        <f>ProjectsList[[#This Row],[Straight Time]]*0.5</f>
        <v>55</v>
      </c>
      <c r="I10" s="31">
        <v>0</v>
      </c>
      <c r="J10" s="16"/>
    </row>
    <row r="11" spans="1:10" ht="24" customHeight="1" x14ac:dyDescent="0.25">
      <c r="B11" s="42">
        <v>493</v>
      </c>
      <c r="C11" s="15" t="s">
        <v>36</v>
      </c>
      <c r="D11" s="5" t="s">
        <v>70</v>
      </c>
      <c r="E11" s="5" t="str">
        <f>_xlfn.CONCAT(ProjectsList[[#This Row],[Project No]]," - ",ProjectsList[[#This Row],[Project Description]])</f>
        <v>493 - MMSD Outlet Duct</v>
      </c>
      <c r="F11" s="31">
        <v>110</v>
      </c>
      <c r="G11" s="17">
        <f>ProjectsList[[#This Row],[Straight Time]]*1.5</f>
        <v>165</v>
      </c>
      <c r="H11" s="17">
        <f>ProjectsList[[#This Row],[Straight Time]]*0.5</f>
        <v>55</v>
      </c>
      <c r="I11" s="31">
        <v>0</v>
      </c>
      <c r="J11" s="16"/>
    </row>
    <row r="12" spans="1:10" ht="24" customHeight="1" x14ac:dyDescent="0.25">
      <c r="B12" s="42">
        <v>494</v>
      </c>
      <c r="C12" s="15" t="s">
        <v>36</v>
      </c>
      <c r="D12" s="5" t="s">
        <v>81</v>
      </c>
      <c r="E12" s="5" t="str">
        <f>_xlfn.CONCAT(ProjectsList[[#This Row],[Project No]]," - ",ProjectsList[[#This Row],[Project Description]])</f>
        <v>494 - IP - Riverdale, AL BB2</v>
      </c>
      <c r="F12" s="31">
        <v>110</v>
      </c>
      <c r="G12" s="17">
        <f>ProjectsList[[#This Row],[Straight Time]]*1.5</f>
        <v>165</v>
      </c>
      <c r="H12" s="17">
        <f>ProjectsList[[#This Row],[Straight Time]]*0.5</f>
        <v>55</v>
      </c>
      <c r="I12" s="31">
        <v>0</v>
      </c>
      <c r="J12" s="16"/>
    </row>
    <row r="13" spans="1:10" ht="24" customHeight="1" x14ac:dyDescent="0.25">
      <c r="B13" s="42">
        <v>495</v>
      </c>
      <c r="C13" s="15" t="s">
        <v>36</v>
      </c>
      <c r="D13" s="5" t="s">
        <v>86</v>
      </c>
      <c r="E13" s="5" t="str">
        <f>_xlfn.CONCAT(ProjectsList[[#This Row],[Project No]]," - ",ProjectsList[[#This Row],[Project Description]])</f>
        <v>495 - Cleveland Cliffs - Dearborn Upper Drop Out Box</v>
      </c>
      <c r="F13" s="31">
        <v>110</v>
      </c>
      <c r="G13" s="17">
        <f>ProjectsList[[#This Row],[Straight Time]]*1.5</f>
        <v>165</v>
      </c>
      <c r="H13" s="17">
        <f>ProjectsList[[#This Row],[Straight Time]]*0.5</f>
        <v>55</v>
      </c>
      <c r="I13" s="31">
        <v>0</v>
      </c>
      <c r="J13" s="16"/>
    </row>
    <row r="14" spans="1:10" ht="24" customHeight="1" x14ac:dyDescent="0.25">
      <c r="B14" s="42">
        <v>496</v>
      </c>
      <c r="C14" s="15" t="s">
        <v>36</v>
      </c>
      <c r="D14" s="5" t="s">
        <v>87</v>
      </c>
      <c r="E14" s="5" t="str">
        <f>_xlfn.CONCAT(ProjectsList[[#This Row],[Project No]]," - ",ProjectsList[[#This Row],[Project Description]])</f>
        <v>496 - Infinite Cooling WESP</v>
      </c>
      <c r="F14" s="31">
        <v>110</v>
      </c>
      <c r="G14" s="17">
        <f>ProjectsList[[#This Row],[Straight Time]]*1.5</f>
        <v>165</v>
      </c>
      <c r="H14" s="17">
        <f>ProjectsList[[#This Row],[Straight Time]]*0.5</f>
        <v>55</v>
      </c>
      <c r="I14" s="31">
        <v>0</v>
      </c>
      <c r="J14" s="16"/>
    </row>
    <row r="15" spans="1:10" ht="24" customHeight="1" x14ac:dyDescent="0.25">
      <c r="B15" s="42">
        <v>497</v>
      </c>
      <c r="C15" s="15" t="s">
        <v>36</v>
      </c>
      <c r="D15" s="5" t="s">
        <v>81</v>
      </c>
      <c r="E15" s="5" t="str">
        <f>_xlfn.CONCAT(ProjectsList[[#This Row],[Project No]]," - ",ProjectsList[[#This Row],[Project Description]])</f>
        <v>497 - IP - Riverdale, AL BB2</v>
      </c>
      <c r="F15" s="31">
        <v>110</v>
      </c>
      <c r="G15" s="17">
        <f>ProjectsList[[#This Row],[Straight Time]]*1.5</f>
        <v>165</v>
      </c>
      <c r="H15" s="17">
        <f>ProjectsList[[#This Row],[Straight Time]]*0.5</f>
        <v>55</v>
      </c>
      <c r="I15" s="31">
        <v>0</v>
      </c>
      <c r="J15" s="16"/>
    </row>
    <row r="16" spans="1:10" ht="24" customHeight="1" x14ac:dyDescent="0.25">
      <c r="B16" s="42">
        <v>498</v>
      </c>
      <c r="C16" s="15" t="s">
        <v>36</v>
      </c>
      <c r="D16" s="5" t="s">
        <v>89</v>
      </c>
      <c r="E16" s="5" t="str">
        <f>_xlfn.CONCAT(ProjectsList[[#This Row],[Project No]]," - ",ProjectsList[[#This Row],[Project Description]])</f>
        <v>498 - IP - Riverdale, AL RB1 and RB2</v>
      </c>
      <c r="F16" s="31">
        <v>110</v>
      </c>
      <c r="G16" s="17">
        <f>ProjectsList[[#This Row],[Straight Time]]*1.5</f>
        <v>165</v>
      </c>
      <c r="H16" s="17">
        <f>ProjectsList[[#This Row],[Straight Time]]*0.5</f>
        <v>55</v>
      </c>
      <c r="I16" s="31">
        <v>0</v>
      </c>
      <c r="J16" s="16"/>
    </row>
    <row r="17" spans="2:10" ht="24" customHeight="1" x14ac:dyDescent="0.25">
      <c r="B17" s="42">
        <v>499</v>
      </c>
      <c r="C17" s="15" t="s">
        <v>36</v>
      </c>
      <c r="D17" s="5" t="s">
        <v>90</v>
      </c>
      <c r="E17" s="5" t="str">
        <f>_xlfn.CONCAT(ProjectsList[[#This Row],[Project No]]," - ",ProjectsList[[#This Row],[Project Description]])</f>
        <v>499 - New Indy - Catawba Multiclone</v>
      </c>
      <c r="F17" s="31">
        <v>110</v>
      </c>
      <c r="G17" s="17">
        <f>ProjectsList[[#This Row],[Straight Time]]*1.5</f>
        <v>165</v>
      </c>
      <c r="H17" s="17">
        <f>ProjectsList[[#This Row],[Straight Time]]*0.5</f>
        <v>55</v>
      </c>
      <c r="I17" s="31">
        <v>0</v>
      </c>
      <c r="J17" s="16"/>
    </row>
    <row r="18" spans="2:10" ht="24" customHeight="1" x14ac:dyDescent="0.25">
      <c r="B18" s="42">
        <v>500</v>
      </c>
      <c r="C18" s="15" t="s">
        <v>36</v>
      </c>
      <c r="D18" s="5" t="s">
        <v>91</v>
      </c>
      <c r="E18" s="5" t="str">
        <f>_xlfn.CONCAT(ProjectsList[[#This Row],[Project No]]," - ",ProjectsList[[#This Row],[Project Description]])</f>
        <v>500 - Brittany Global - WESP</v>
      </c>
      <c r="F18" s="31">
        <v>110</v>
      </c>
      <c r="G18" s="17">
        <f>ProjectsList[[#This Row],[Straight Time]]*1.5</f>
        <v>165</v>
      </c>
      <c r="H18" s="17">
        <f>ProjectsList[[#This Row],[Straight Time]]*0.5</f>
        <v>55</v>
      </c>
      <c r="I18" s="31">
        <v>0</v>
      </c>
      <c r="J18" s="16"/>
    </row>
    <row r="19" spans="2:10" ht="24" customHeight="1" x14ac:dyDescent="0.25">
      <c r="B19" s="42">
        <v>501</v>
      </c>
      <c r="C19" s="15" t="s">
        <v>36</v>
      </c>
      <c r="D19" s="5" t="s">
        <v>101</v>
      </c>
      <c r="E19" s="5" t="str">
        <f>_xlfn.CONCAT(ProjectsList[[#This Row],[Project No]]," - ",ProjectsList[[#This Row],[Project Description]])</f>
        <v>501 - Suncor - Field Work</v>
      </c>
      <c r="F19" s="31">
        <v>110</v>
      </c>
      <c r="G19" s="17">
        <f>ProjectsList[[#This Row],[Straight Time]]*1.5</f>
        <v>165</v>
      </c>
      <c r="H19" s="17">
        <f>ProjectsList[[#This Row],[Straight Time]]*0.5</f>
        <v>55</v>
      </c>
      <c r="I19" s="31">
        <v>0</v>
      </c>
      <c r="J19" s="16"/>
    </row>
    <row r="20" spans="2:10" ht="24" customHeight="1" x14ac:dyDescent="0.25">
      <c r="B20" s="42">
        <v>502</v>
      </c>
      <c r="C20" s="15" t="s">
        <v>36</v>
      </c>
      <c r="D20" s="5" t="s">
        <v>128</v>
      </c>
      <c r="E20" s="5" t="str">
        <f>_xlfn.CONCAT(ProjectsList[[#This Row],[Project No]]," - ",ProjectsList[[#This Row],[Project Description]])</f>
        <v>502 - MMSD Outlet Duct - Model Study</v>
      </c>
      <c r="F20" s="31">
        <v>110</v>
      </c>
      <c r="G20" s="17">
        <f>ProjectsList[[#This Row],[Straight Time]]*1.5</f>
        <v>165</v>
      </c>
      <c r="H20" s="17">
        <f>ProjectsList[[#This Row],[Straight Time]]*0.5</f>
        <v>55</v>
      </c>
      <c r="I20" s="31">
        <v>24650</v>
      </c>
      <c r="J20" s="16" t="s">
        <v>210</v>
      </c>
    </row>
    <row r="21" spans="2:10" ht="24" customHeight="1" x14ac:dyDescent="0.25">
      <c r="B21" s="42">
        <v>503</v>
      </c>
      <c r="C21" s="15" t="s">
        <v>36</v>
      </c>
      <c r="D21" s="5" t="s">
        <v>172</v>
      </c>
      <c r="E21" s="5" t="str">
        <f>_xlfn.CONCAT(ProjectsList[[#This Row],[Project No]]," - ",ProjectsList[[#This Row],[Project Description]])</f>
        <v>503 - Suncor Model Study - Inlet &amp;Coke Fines</v>
      </c>
      <c r="F21" s="31">
        <v>0</v>
      </c>
      <c r="G21" s="17">
        <f>ProjectsList[[#This Row],[Straight Time]]*1.5</f>
        <v>0</v>
      </c>
      <c r="H21" s="17">
        <f>ProjectsList[[#This Row],[Straight Time]]*0.5</f>
        <v>0</v>
      </c>
      <c r="I21" s="31">
        <v>30000</v>
      </c>
      <c r="J21" s="16" t="s">
        <v>175</v>
      </c>
    </row>
    <row r="22" spans="2:10" ht="24" customHeight="1" x14ac:dyDescent="0.25">
      <c r="B22" s="42">
        <v>504</v>
      </c>
      <c r="C22" s="15" t="s">
        <v>138</v>
      </c>
      <c r="D22" s="5" t="s">
        <v>142</v>
      </c>
      <c r="E22" s="5" t="str">
        <f>_xlfn.CONCAT(ProjectsList[[#This Row],[Project No]]," - ",ProjectsList[[#This Row],[Project Description]])</f>
        <v>504 - 154 Lloyd St, Crestview</v>
      </c>
      <c r="F22" s="31">
        <v>0</v>
      </c>
      <c r="G22" s="17">
        <f>ProjectsList[[#This Row],[Straight Time]]*1.5</f>
        <v>0</v>
      </c>
      <c r="H22" s="17">
        <f>ProjectsList[[#This Row],[Straight Time]]*0.5</f>
        <v>0</v>
      </c>
      <c r="I22" s="31">
        <v>0</v>
      </c>
      <c r="J22" s="16" t="s">
        <v>171</v>
      </c>
    </row>
    <row r="23" spans="2:10" ht="24" customHeight="1" x14ac:dyDescent="0.25">
      <c r="B23" s="42">
        <v>505</v>
      </c>
      <c r="C23" s="15" t="s">
        <v>36</v>
      </c>
      <c r="D23" s="5" t="s">
        <v>143</v>
      </c>
      <c r="E23" s="5" t="str">
        <f>_xlfn.CONCAT(ProjectsList[[#This Row],[Project No]]," - ",ProjectsList[[#This Row],[Project Description]])</f>
        <v>505 - Holcim - Ada - Inspection</v>
      </c>
      <c r="F23" s="31">
        <v>110</v>
      </c>
      <c r="G23" s="17">
        <f>ProjectsList[[#This Row],[Straight Time]]*1.5</f>
        <v>165</v>
      </c>
      <c r="H23" s="17">
        <f>ProjectsList[[#This Row],[Straight Time]]*0.5</f>
        <v>55</v>
      </c>
      <c r="I23" s="31">
        <v>0</v>
      </c>
      <c r="J23" s="16"/>
    </row>
    <row r="24" spans="2:10" ht="24" customHeight="1" x14ac:dyDescent="0.25">
      <c r="B24" s="42">
        <v>506</v>
      </c>
      <c r="C24" s="15" t="s">
        <v>36</v>
      </c>
      <c r="D24" s="5" t="s">
        <v>148</v>
      </c>
      <c r="E24" s="5" t="str">
        <f>_xlfn.CONCAT(ProjectsList[[#This Row],[Project No]]," - ",ProjectsList[[#This Row],[Project Description]])</f>
        <v>506 - Suncor Weekly Meetings</v>
      </c>
      <c r="F24" s="31">
        <v>110</v>
      </c>
      <c r="G24" s="17">
        <f>ProjectsList[[#This Row],[Straight Time]]*1.5</f>
        <v>165</v>
      </c>
      <c r="H24" s="17">
        <f>ProjectsList[[#This Row],[Straight Time]]*0.5</f>
        <v>55</v>
      </c>
      <c r="I24" s="31">
        <v>0</v>
      </c>
      <c r="J24" s="16"/>
    </row>
    <row r="25" spans="2:10" ht="24" customHeight="1" x14ac:dyDescent="0.25">
      <c r="B25" s="42">
        <v>507</v>
      </c>
      <c r="C25" s="15" t="s">
        <v>36</v>
      </c>
      <c r="D25" s="5" t="s">
        <v>149</v>
      </c>
      <c r="E25" s="5" t="str">
        <f>_xlfn.CONCAT(ProjectsList[[#This Row],[Project No]]," - ",ProjectsList[[#This Row],[Project Description]])</f>
        <v>507 - Suncor Extra Engineering</v>
      </c>
      <c r="F25" s="31">
        <v>110</v>
      </c>
      <c r="G25" s="17">
        <f>ProjectsList[[#This Row],[Straight Time]]*1.5</f>
        <v>165</v>
      </c>
      <c r="H25" s="17">
        <f>ProjectsList[[#This Row],[Straight Time]]*0.5</f>
        <v>55</v>
      </c>
      <c r="I25" s="31">
        <v>0</v>
      </c>
      <c r="J25" s="16"/>
    </row>
    <row r="26" spans="2:10" ht="24" customHeight="1" x14ac:dyDescent="0.25">
      <c r="B26" s="42">
        <v>508</v>
      </c>
      <c r="C26" s="15" t="s">
        <v>36</v>
      </c>
      <c r="D26" s="5" t="s">
        <v>173</v>
      </c>
      <c r="E26" s="5" t="str">
        <f>_xlfn.CONCAT(ProjectsList[[#This Row],[Project No]]," - ",ProjectsList[[#This Row],[Project Description]])</f>
        <v>508 - Suncor Model Study - Crossover &amp; Mods</v>
      </c>
      <c r="F26" s="31">
        <v>0</v>
      </c>
      <c r="G26" s="17">
        <f>ProjectsList[[#This Row],[Straight Time]]*1.5</f>
        <v>0</v>
      </c>
      <c r="H26" s="17">
        <f>ProjectsList[[#This Row],[Straight Time]]*0.5</f>
        <v>0</v>
      </c>
      <c r="I26" s="31">
        <v>28350</v>
      </c>
      <c r="J26" s="16" t="s">
        <v>174</v>
      </c>
    </row>
    <row r="27" spans="2:10" ht="24" customHeight="1" x14ac:dyDescent="0.25">
      <c r="B27" s="42">
        <v>509</v>
      </c>
      <c r="C27" s="15" t="s">
        <v>36</v>
      </c>
      <c r="D27" s="5" t="s">
        <v>207</v>
      </c>
      <c r="E27" s="5" t="str">
        <f>_xlfn.CONCAT(ProjectsList[[#This Row],[Project No]]," - ",ProjectsList[[#This Row],[Project Description]])</f>
        <v>509 - Westrock Power Plus Specifications</v>
      </c>
      <c r="F27" s="31">
        <v>110</v>
      </c>
      <c r="G27" s="17">
        <f>ProjectsList[[#This Row],[Straight Time]]*1.5</f>
        <v>165</v>
      </c>
      <c r="H27" s="17">
        <f>ProjectsList[[#This Row],[Straight Time]]*0.5</f>
        <v>55</v>
      </c>
      <c r="I27" s="31">
        <v>0</v>
      </c>
      <c r="J27" s="16"/>
    </row>
    <row r="28" spans="2:10" ht="24" customHeight="1" x14ac:dyDescent="0.25">
      <c r="B28" s="42">
        <v>510</v>
      </c>
      <c r="C28" s="15" t="s">
        <v>36</v>
      </c>
      <c r="D28" s="5" t="s">
        <v>228</v>
      </c>
      <c r="E28" s="5" t="str">
        <f>_xlfn.CONCAT(ProjectsList[[#This Row],[Project No]]," - ",ProjectsList[[#This Row],[Project Description]])</f>
        <v>510 - OI Brockway Glass</v>
      </c>
      <c r="F28" s="31">
        <v>110</v>
      </c>
      <c r="G28" s="17">
        <f>ProjectsList[[#This Row],[Straight Time]]*1.5</f>
        <v>165</v>
      </c>
      <c r="H28" s="17">
        <f>ProjectsList[[#This Row],[Straight Time]]*0.5</f>
        <v>55</v>
      </c>
      <c r="I28" s="31">
        <v>0</v>
      </c>
      <c r="J28" s="16"/>
    </row>
    <row r="29" spans="2:10" ht="24" customHeight="1" x14ac:dyDescent="0.25">
      <c r="B29" s="42">
        <v>511</v>
      </c>
      <c r="C29" s="15" t="s">
        <v>36</v>
      </c>
      <c r="D29" s="5" t="s">
        <v>89</v>
      </c>
      <c r="E29" s="5" t="str">
        <f>_xlfn.CONCAT(ProjectsList[[#This Row],[Project No]]," - ",ProjectsList[[#This Row],[Project Description]])</f>
        <v>511 - IP - Riverdale, AL RB1 and RB2</v>
      </c>
      <c r="F29" s="31">
        <v>110</v>
      </c>
      <c r="G29" s="17">
        <f>ProjectsList[[#This Row],[Straight Time]]*1.5</f>
        <v>165</v>
      </c>
      <c r="H29" s="17">
        <f>ProjectsList[[#This Row],[Straight Time]]*0.5</f>
        <v>55</v>
      </c>
      <c r="I29" s="31">
        <v>0</v>
      </c>
      <c r="J29" s="16"/>
    </row>
    <row r="30" spans="2:10" ht="24" customHeight="1" x14ac:dyDescent="0.25">
      <c r="B30" s="42">
        <v>512</v>
      </c>
      <c r="C30" s="15" t="s">
        <v>231</v>
      </c>
      <c r="D30" s="5" t="s">
        <v>232</v>
      </c>
      <c r="E30" s="5" t="str">
        <f>_xlfn.CONCAT(ProjectsList[[#This Row],[Project No]]," - ",ProjectsList[[#This Row],[Project Description]])</f>
        <v>512 - Gasket</v>
      </c>
      <c r="F30" s="31">
        <v>0</v>
      </c>
      <c r="G30" s="17">
        <f>ProjectsList[[#This Row],[Straight Time]]*1.5</f>
        <v>0</v>
      </c>
      <c r="H30" s="17">
        <f>ProjectsList[[#This Row],[Straight Time]]*0.5</f>
        <v>0</v>
      </c>
      <c r="I30" s="31">
        <v>679.34</v>
      </c>
      <c r="J30" s="16"/>
    </row>
    <row r="31" spans="2:10" ht="24" customHeight="1" x14ac:dyDescent="0.25">
      <c r="B31" s="42">
        <v>513</v>
      </c>
      <c r="C31" s="15" t="s">
        <v>36</v>
      </c>
      <c r="D31" s="5" t="s">
        <v>234</v>
      </c>
      <c r="E31" s="5" t="str">
        <f>_xlfn.CONCAT(ProjectsList[[#This Row],[Project No]]," - ",ProjectsList[[#This Row],[Project Description]])</f>
        <v>513 - Rio Tinto FS &amp; FC ESP</v>
      </c>
      <c r="F31" s="31">
        <v>110</v>
      </c>
      <c r="G31" s="17">
        <f>ProjectsList[[#This Row],[Straight Time]]*1.5</f>
        <v>165</v>
      </c>
      <c r="H31" s="17">
        <f>ProjectsList[[#This Row],[Straight Time]]*0.5</f>
        <v>55</v>
      </c>
      <c r="I31" s="31">
        <v>0</v>
      </c>
      <c r="J31" s="16"/>
    </row>
    <row r="32" spans="2:10" ht="24" customHeight="1" x14ac:dyDescent="0.25">
      <c r="B32" s="42">
        <v>514</v>
      </c>
      <c r="C32" s="15" t="s">
        <v>36</v>
      </c>
      <c r="D32" s="5" t="s">
        <v>236</v>
      </c>
      <c r="E32" s="5" t="str">
        <f>_xlfn.CONCAT(ProjectsList[[#This Row],[Project No]]," - ",ProjectsList[[#This Row],[Project Description]])</f>
        <v>514 - Help with Envision</v>
      </c>
      <c r="F32" s="31">
        <v>110</v>
      </c>
      <c r="G32" s="17">
        <f>ProjectsList[[#This Row],[Straight Time]]*1.5</f>
        <v>165</v>
      </c>
      <c r="H32" s="17">
        <f>ProjectsList[[#This Row],[Straight Time]]*0.5</f>
        <v>55</v>
      </c>
      <c r="I32" s="31">
        <v>0</v>
      </c>
      <c r="J32" s="16"/>
    </row>
    <row r="33" spans="2:10" ht="24" customHeight="1" x14ac:dyDescent="0.25">
      <c r="B33" s="42">
        <v>515</v>
      </c>
      <c r="C33" s="15" t="s">
        <v>36</v>
      </c>
      <c r="D33" s="5" t="s">
        <v>257</v>
      </c>
      <c r="E33" s="5" t="str">
        <f>_xlfn.CONCAT(ProjectsList[[#This Row],[Project No]]," - ",ProjectsList[[#This Row],[Project Description]])</f>
        <v>515 - Hopewell - powerplus installation</v>
      </c>
      <c r="F33" s="31">
        <v>110</v>
      </c>
      <c r="G33" s="17">
        <f>ProjectsList[[#This Row],[Straight Time]]*1.5</f>
        <v>165</v>
      </c>
      <c r="H33" s="17">
        <f>ProjectsList[[#This Row],[Straight Time]]*0.5</f>
        <v>55</v>
      </c>
      <c r="I33" s="31">
        <v>0</v>
      </c>
      <c r="J33" s="16"/>
    </row>
    <row r="34" spans="2:10" ht="24" customHeight="1" x14ac:dyDescent="0.25">
      <c r="B34" s="42">
        <v>516</v>
      </c>
      <c r="C34" s="15" t="s">
        <v>36</v>
      </c>
      <c r="D34" s="5" t="s">
        <v>258</v>
      </c>
      <c r="E34" s="5" t="str">
        <f>_xlfn.CONCAT(ProjectsList[[#This Row],[Project No]]," - ",ProjectsList[[#This Row],[Project Description]])</f>
        <v>516 - IP - Rome, GA RB5 &amp; WHB6</v>
      </c>
      <c r="F34" s="31">
        <v>110</v>
      </c>
      <c r="G34" s="17">
        <f>ProjectsList[[#This Row],[Straight Time]]*1.5</f>
        <v>165</v>
      </c>
      <c r="H34" s="17">
        <f>ProjectsList[[#This Row],[Straight Time]]*0.5</f>
        <v>55</v>
      </c>
      <c r="I34" s="31">
        <v>0</v>
      </c>
      <c r="J34" s="16"/>
    </row>
    <row r="35" spans="2:10" ht="24" customHeight="1" x14ac:dyDescent="0.25">
      <c r="B35" s="42">
        <v>517</v>
      </c>
      <c r="C35" s="15" t="s">
        <v>36</v>
      </c>
      <c r="D35" s="5" t="s">
        <v>276</v>
      </c>
      <c r="E35" s="5" t="str">
        <f>_xlfn.CONCAT(ProjectsList[[#This Row],[Project No]]," - ",ProjectsList[[#This Row],[Project Description]])</f>
        <v>517 - TRK - Ardagh-Pevely Conveyor</v>
      </c>
      <c r="F35" s="31">
        <v>110</v>
      </c>
      <c r="G35" s="17">
        <f>ProjectsList[[#This Row],[Straight Time]]*1.5</f>
        <v>165</v>
      </c>
      <c r="H35" s="17">
        <f>ProjectsList[[#This Row],[Straight Time]]*0.5</f>
        <v>55</v>
      </c>
      <c r="I35" s="31">
        <v>0</v>
      </c>
      <c r="J35" s="16"/>
    </row>
    <row r="36" spans="2:10" ht="24" customHeight="1" x14ac:dyDescent="0.25">
      <c r="B36" s="42">
        <v>518</v>
      </c>
      <c r="C36" s="15" t="s">
        <v>36</v>
      </c>
      <c r="D36" s="5" t="s">
        <v>282</v>
      </c>
      <c r="E36" s="5" t="str">
        <f>_xlfn.CONCAT(ProjectsList[[#This Row],[Project No]]," - ",ProjectsList[[#This Row],[Project Description]])</f>
        <v>518 - Small Projects - General Office help</v>
      </c>
      <c r="F36" s="31">
        <v>110</v>
      </c>
      <c r="G36" s="17">
        <f>ProjectsList[[#This Row],[Straight Time]]*1.5</f>
        <v>165</v>
      </c>
      <c r="H36" s="17">
        <f>ProjectsList[[#This Row],[Straight Time]]*0.5</f>
        <v>55</v>
      </c>
      <c r="I36" s="31"/>
      <c r="J36" s="16"/>
    </row>
    <row r="37" spans="2:10" ht="24" customHeight="1" x14ac:dyDescent="0.25">
      <c r="B37" s="42">
        <v>519</v>
      </c>
      <c r="C37" s="15" t="s">
        <v>36</v>
      </c>
      <c r="D37" s="5" t="s">
        <v>288</v>
      </c>
      <c r="E37" s="5" t="str">
        <f>_xlfn.CONCAT(ProjectsList[[#This Row],[Project No]]," - ",ProjectsList[[#This Row],[Project Description]])</f>
        <v>519 - IP - Pine Hill, AL</v>
      </c>
      <c r="F37" s="31">
        <v>110</v>
      </c>
      <c r="G37" s="17">
        <f>ProjectsList[[#This Row],[Straight Time]]*1.5</f>
        <v>165</v>
      </c>
      <c r="H37" s="17">
        <f>ProjectsList[[#This Row],[Straight Time]]*0.5</f>
        <v>55</v>
      </c>
      <c r="I37" s="31"/>
      <c r="J37" s="16"/>
    </row>
    <row r="38" spans="2:10" ht="24" customHeight="1" x14ac:dyDescent="0.25">
      <c r="B38" s="42">
        <v>520</v>
      </c>
      <c r="C38" s="15" t="s">
        <v>36</v>
      </c>
      <c r="D38" s="5" t="s">
        <v>81</v>
      </c>
      <c r="E38" s="5" t="str">
        <f>_xlfn.CONCAT(ProjectsList[[#This Row],[Project No]]," - ",ProjectsList[[#This Row],[Project Description]])</f>
        <v>520 - IP - Riverdale, AL BB2</v>
      </c>
      <c r="F38" s="31">
        <v>110</v>
      </c>
      <c r="G38" s="17">
        <f>ProjectsList[[#This Row],[Straight Time]]*1.5</f>
        <v>165</v>
      </c>
      <c r="H38" s="17">
        <f>ProjectsList[[#This Row],[Straight Time]]*0.5</f>
        <v>55</v>
      </c>
      <c r="I38" s="31"/>
      <c r="J38" s="16"/>
    </row>
    <row r="39" spans="2:10" ht="24" customHeight="1" x14ac:dyDescent="0.25">
      <c r="B39" s="42">
        <v>521</v>
      </c>
      <c r="C39" s="15" t="s">
        <v>36</v>
      </c>
      <c r="D39" s="5" t="s">
        <v>309</v>
      </c>
      <c r="E39" s="5" t="str">
        <f>_xlfn.CONCAT(ProjectsList[[#This Row],[Project No]]," - ",ProjectsList[[#This Row],[Project Description]])</f>
        <v>521 - Ardagh Glass, Pevely</v>
      </c>
      <c r="F39" s="31">
        <v>110</v>
      </c>
      <c r="G39" s="17">
        <f>ProjectsList[[#This Row],[Straight Time]]*1.5</f>
        <v>165</v>
      </c>
      <c r="H39" s="17">
        <f>ProjectsList[[#This Row],[Straight Time]]*0.5</f>
        <v>55</v>
      </c>
      <c r="I39" s="31"/>
      <c r="J39" s="16"/>
    </row>
    <row r="40" spans="2:10" ht="24" customHeight="1" x14ac:dyDescent="0.25">
      <c r="B40" s="42">
        <v>522</v>
      </c>
      <c r="C40" s="15"/>
      <c r="D40" s="5"/>
      <c r="E40" s="5" t="str">
        <f>_xlfn.CONCAT(ProjectsList[[#This Row],[Project No]]," - ",ProjectsList[[#This Row],[Project Description]])</f>
        <v xml:space="preserve">522 - </v>
      </c>
      <c r="F40" s="31"/>
      <c r="G40" s="17">
        <f>ProjectsList[[#This Row],[Straight Time]]*1.5</f>
        <v>0</v>
      </c>
      <c r="H40" s="17">
        <f>ProjectsList[[#This Row],[Straight Time]]*0.5</f>
        <v>0</v>
      </c>
      <c r="I40" s="31"/>
      <c r="J40" s="16"/>
    </row>
    <row r="41" spans="2:10" ht="24" customHeight="1" x14ac:dyDescent="0.25">
      <c r="B41" s="42">
        <v>523</v>
      </c>
      <c r="C41" s="15"/>
      <c r="D41" s="5"/>
      <c r="E41" s="5" t="str">
        <f>_xlfn.CONCAT(ProjectsList[[#This Row],[Project No]]," - ",ProjectsList[[#This Row],[Project Description]])</f>
        <v xml:space="preserve">523 - </v>
      </c>
      <c r="F41" s="31"/>
      <c r="G41" s="17">
        <f>ProjectsList[[#This Row],[Straight Time]]*1.5</f>
        <v>0</v>
      </c>
      <c r="H41" s="17">
        <f>ProjectsList[[#This Row],[Straight Time]]*0.5</f>
        <v>0</v>
      </c>
      <c r="I41" s="31"/>
      <c r="J41" s="16"/>
    </row>
    <row r="42" spans="2:10" ht="24" customHeight="1" x14ac:dyDescent="0.25">
      <c r="B42" s="42">
        <v>524</v>
      </c>
      <c r="C42" s="15"/>
      <c r="D42" s="5"/>
      <c r="E42" s="5" t="str">
        <f>_xlfn.CONCAT(ProjectsList[[#This Row],[Project No]]," - ",ProjectsList[[#This Row],[Project Description]])</f>
        <v xml:space="preserve">524 - </v>
      </c>
      <c r="F42" s="31"/>
      <c r="G42" s="17">
        <f>ProjectsList[[#This Row],[Straight Time]]*1.5</f>
        <v>0</v>
      </c>
      <c r="H42" s="17">
        <f>ProjectsList[[#This Row],[Straight Time]]*0.5</f>
        <v>0</v>
      </c>
      <c r="I42" s="31"/>
      <c r="J42" s="16"/>
    </row>
    <row r="43" spans="2:10" ht="24" customHeight="1" x14ac:dyDescent="0.25">
      <c r="B43" s="42">
        <v>525</v>
      </c>
      <c r="C43" s="15"/>
      <c r="D43" s="5"/>
      <c r="E43" s="5" t="str">
        <f>_xlfn.CONCAT(ProjectsList[[#This Row],[Project No]]," - ",ProjectsList[[#This Row],[Project Description]])</f>
        <v xml:space="preserve">525 - </v>
      </c>
      <c r="F43" s="31"/>
      <c r="G43" s="17">
        <f>ProjectsList[[#This Row],[Straight Time]]*1.5</f>
        <v>0</v>
      </c>
      <c r="H43" s="17">
        <f>ProjectsList[[#This Row],[Straight Time]]*0.5</f>
        <v>0</v>
      </c>
      <c r="I43" s="31"/>
      <c r="J43" s="16"/>
    </row>
    <row r="44" spans="2:10" ht="24" customHeight="1" x14ac:dyDescent="0.25">
      <c r="B44" s="42">
        <v>526</v>
      </c>
      <c r="C44" s="15"/>
      <c r="D44" s="5"/>
      <c r="E44" s="5" t="str">
        <f>_xlfn.CONCAT(ProjectsList[[#This Row],[Project No]]," - ",ProjectsList[[#This Row],[Project Description]])</f>
        <v xml:space="preserve">526 - </v>
      </c>
      <c r="F44" s="31"/>
      <c r="G44" s="17">
        <f>ProjectsList[[#This Row],[Straight Time]]*1.5</f>
        <v>0</v>
      </c>
      <c r="H44" s="17">
        <f>ProjectsList[[#This Row],[Straight Time]]*0.5</f>
        <v>0</v>
      </c>
      <c r="I44" s="31"/>
      <c r="J44" s="16"/>
    </row>
    <row r="45" spans="2:10" ht="24" customHeight="1" x14ac:dyDescent="0.25">
      <c r="B45" s="42">
        <v>527</v>
      </c>
      <c r="C45" s="15"/>
      <c r="D45" s="5"/>
      <c r="E45" s="5" t="str">
        <f>_xlfn.CONCAT(ProjectsList[[#This Row],[Project No]]," - ",ProjectsList[[#This Row],[Project Description]])</f>
        <v xml:space="preserve">527 - </v>
      </c>
      <c r="F45" s="31"/>
      <c r="G45" s="17">
        <f>ProjectsList[[#This Row],[Straight Time]]*1.5</f>
        <v>0</v>
      </c>
      <c r="H45" s="17">
        <f>ProjectsList[[#This Row],[Straight Time]]*0.5</f>
        <v>0</v>
      </c>
      <c r="I45" s="31"/>
      <c r="J45" s="16"/>
    </row>
    <row r="46" spans="2:10" ht="24" customHeight="1" x14ac:dyDescent="0.25">
      <c r="B46" s="42">
        <v>528</v>
      </c>
      <c r="C46" s="15"/>
      <c r="D46" s="5"/>
      <c r="E46" s="5" t="str">
        <f>_xlfn.CONCAT(ProjectsList[[#This Row],[Project No]]," - ",ProjectsList[[#This Row],[Project Description]])</f>
        <v xml:space="preserve">528 - </v>
      </c>
      <c r="F46" s="31"/>
      <c r="G46" s="17">
        <f>ProjectsList[[#This Row],[Straight Time]]*1.5</f>
        <v>0</v>
      </c>
      <c r="H46" s="17">
        <f>ProjectsList[[#This Row],[Straight Time]]*0.5</f>
        <v>0</v>
      </c>
      <c r="I46" s="31"/>
      <c r="J46" s="16"/>
    </row>
    <row r="47" spans="2:10" ht="24" customHeight="1" x14ac:dyDescent="0.25">
      <c r="B47" s="42">
        <v>529</v>
      </c>
      <c r="C47" s="15"/>
      <c r="D47" s="5"/>
      <c r="E47" s="5" t="str">
        <f>_xlfn.CONCAT(ProjectsList[[#This Row],[Project No]]," - ",ProjectsList[[#This Row],[Project Description]])</f>
        <v xml:space="preserve">529 - </v>
      </c>
      <c r="F47" s="31"/>
      <c r="G47" s="17">
        <f>ProjectsList[[#This Row],[Straight Time]]*1.5</f>
        <v>0</v>
      </c>
      <c r="H47" s="17">
        <f>ProjectsList[[#This Row],[Straight Time]]*0.5</f>
        <v>0</v>
      </c>
      <c r="I47" s="31"/>
      <c r="J47" s="16"/>
    </row>
    <row r="48" spans="2:10" ht="24" customHeight="1" x14ac:dyDescent="0.25">
      <c r="B48" s="42">
        <v>530</v>
      </c>
      <c r="C48" s="15"/>
      <c r="D48" s="5"/>
      <c r="E48" s="5" t="str">
        <f>_xlfn.CONCAT(ProjectsList[[#This Row],[Project No]]," - ",ProjectsList[[#This Row],[Project Description]])</f>
        <v xml:space="preserve">530 - </v>
      </c>
      <c r="F48" s="31"/>
      <c r="G48" s="17">
        <f>ProjectsList[[#This Row],[Straight Time]]*1.5</f>
        <v>0</v>
      </c>
      <c r="H48" s="17">
        <f>ProjectsList[[#This Row],[Straight Time]]*0.5</f>
        <v>0</v>
      </c>
      <c r="I48" s="31"/>
      <c r="J48" s="16"/>
    </row>
    <row r="49" spans="2:10" ht="24" customHeight="1" x14ac:dyDescent="0.25">
      <c r="B49" s="42">
        <v>531</v>
      </c>
      <c r="C49" s="15"/>
      <c r="D49" s="5"/>
      <c r="E49" s="5" t="str">
        <f>_xlfn.CONCAT(ProjectsList[[#This Row],[Project No]]," - ",ProjectsList[[#This Row],[Project Description]])</f>
        <v xml:space="preserve">531 - </v>
      </c>
      <c r="F49" s="31"/>
      <c r="G49" s="17">
        <f>ProjectsList[[#This Row],[Straight Time]]*1.5</f>
        <v>0</v>
      </c>
      <c r="H49" s="17">
        <f>ProjectsList[[#This Row],[Straight Time]]*0.5</f>
        <v>0</v>
      </c>
      <c r="I49" s="31"/>
      <c r="J49" s="16"/>
    </row>
    <row r="50" spans="2:10" ht="24" customHeight="1" x14ac:dyDescent="0.25">
      <c r="B50" s="42">
        <v>532</v>
      </c>
      <c r="C50" s="15"/>
      <c r="D50" s="5"/>
      <c r="E50" s="5" t="str">
        <f>_xlfn.CONCAT(ProjectsList[[#This Row],[Project No]]," - ",ProjectsList[[#This Row],[Project Description]])</f>
        <v xml:space="preserve">532 - </v>
      </c>
      <c r="F50" s="31"/>
      <c r="G50" s="17">
        <f>ProjectsList[[#This Row],[Straight Time]]*1.5</f>
        <v>0</v>
      </c>
      <c r="H50" s="17">
        <f>ProjectsList[[#This Row],[Straight Time]]*0.5</f>
        <v>0</v>
      </c>
      <c r="I50" s="31"/>
      <c r="J50" s="16"/>
    </row>
    <row r="51" spans="2:10" ht="24" customHeight="1" x14ac:dyDescent="0.25">
      <c r="B51" s="42">
        <v>533</v>
      </c>
      <c r="C51" s="15"/>
      <c r="D51" s="5"/>
      <c r="E51" s="5" t="str">
        <f>_xlfn.CONCAT(ProjectsList[[#This Row],[Project No]]," - ",ProjectsList[[#This Row],[Project Description]])</f>
        <v xml:space="preserve">533 - </v>
      </c>
      <c r="F51" s="31"/>
      <c r="G51" s="17">
        <f>ProjectsList[[#This Row],[Straight Time]]*1.5</f>
        <v>0</v>
      </c>
      <c r="H51" s="17">
        <f>ProjectsList[[#This Row],[Straight Time]]*0.5</f>
        <v>0</v>
      </c>
      <c r="I51" s="31"/>
      <c r="J51" s="16"/>
    </row>
    <row r="52" spans="2:10" ht="24" customHeight="1" x14ac:dyDescent="0.25">
      <c r="B52" s="42">
        <v>534</v>
      </c>
      <c r="C52" s="15"/>
      <c r="D52" s="5"/>
      <c r="E52" s="5" t="str">
        <f>_xlfn.CONCAT(ProjectsList[[#This Row],[Project No]]," - ",ProjectsList[[#This Row],[Project Description]])</f>
        <v xml:space="preserve">534 - </v>
      </c>
      <c r="F52" s="31"/>
      <c r="G52" s="17">
        <f>ProjectsList[[#This Row],[Straight Time]]*1.5</f>
        <v>0</v>
      </c>
      <c r="H52" s="17">
        <f>ProjectsList[[#This Row],[Straight Time]]*0.5</f>
        <v>0</v>
      </c>
      <c r="I52" s="31"/>
      <c r="J52" s="16"/>
    </row>
    <row r="53" spans="2:10" ht="24" customHeight="1" x14ac:dyDescent="0.25">
      <c r="B53" s="42">
        <v>535</v>
      </c>
      <c r="C53" s="15"/>
      <c r="D53" s="5"/>
      <c r="E53" s="5" t="str">
        <f>_xlfn.CONCAT(ProjectsList[[#This Row],[Project No]]," - ",ProjectsList[[#This Row],[Project Description]])</f>
        <v xml:space="preserve">535 - </v>
      </c>
      <c r="F53" s="31"/>
      <c r="G53" s="17">
        <f>ProjectsList[[#This Row],[Straight Time]]*1.5</f>
        <v>0</v>
      </c>
      <c r="H53" s="17">
        <f>ProjectsList[[#This Row],[Straight Time]]*0.5</f>
        <v>0</v>
      </c>
      <c r="I53" s="31"/>
      <c r="J53" s="16"/>
    </row>
    <row r="54" spans="2:10" ht="24" customHeight="1" x14ac:dyDescent="0.25">
      <c r="B54" s="42"/>
      <c r="C54" s="15"/>
      <c r="D54" s="5"/>
      <c r="E54" s="5" t="str">
        <f>_xlfn.CONCAT(ProjectsList[[#This Row],[Project No]]," - ",ProjectsList[[#This Row],[Project Description]])</f>
        <v xml:space="preserve"> - </v>
      </c>
      <c r="F54" s="31"/>
      <c r="G54" s="17">
        <f>ProjectsList[[#This Row],[Straight Time]]*1.5</f>
        <v>0</v>
      </c>
      <c r="H54" s="17">
        <f>ProjectsList[[#This Row],[Straight Time]]*0.5</f>
        <v>0</v>
      </c>
      <c r="I54" s="31"/>
      <c r="J54" s="16"/>
    </row>
    <row r="55" spans="2:10" ht="24" customHeight="1" x14ac:dyDescent="0.25">
      <c r="B55" s="42"/>
      <c r="C55" s="15"/>
      <c r="D55" s="5"/>
      <c r="E55" s="5" t="str">
        <f>_xlfn.CONCAT(ProjectsList[[#This Row],[Project No]]," - ",ProjectsList[[#This Row],[Project Description]])</f>
        <v xml:space="preserve"> - </v>
      </c>
      <c r="F55" s="31"/>
      <c r="G55" s="17">
        <f>ProjectsList[[#This Row],[Straight Time]]*1.5</f>
        <v>0</v>
      </c>
      <c r="H55" s="17">
        <f>ProjectsList[[#This Row],[Straight Time]]*0.5</f>
        <v>0</v>
      </c>
      <c r="I55" s="31"/>
      <c r="J55" s="16"/>
    </row>
    <row r="56" spans="2:10" ht="24" customHeight="1" x14ac:dyDescent="0.25">
      <c r="B56" s="42"/>
      <c r="C56" s="15"/>
      <c r="D56" s="5"/>
      <c r="E56" s="5" t="str">
        <f>_xlfn.CONCAT(ProjectsList[[#This Row],[Project No]]," - ",ProjectsList[[#This Row],[Project Description]])</f>
        <v xml:space="preserve"> - </v>
      </c>
      <c r="F56" s="31"/>
      <c r="G56" s="17">
        <f>ProjectsList[[#This Row],[Straight Time]]*1.5</f>
        <v>0</v>
      </c>
      <c r="H56" s="17">
        <f>ProjectsList[[#This Row],[Straight Time]]*0.5</f>
        <v>0</v>
      </c>
      <c r="I56" s="31"/>
      <c r="J56" s="16"/>
    </row>
    <row r="57" spans="2:10" ht="24" customHeight="1" x14ac:dyDescent="0.25">
      <c r="B57" s="42"/>
      <c r="C57" s="15"/>
      <c r="D57" s="5"/>
      <c r="E57" s="5" t="str">
        <f>_xlfn.CONCAT(ProjectsList[[#This Row],[Project No]]," - ",ProjectsList[[#This Row],[Project Description]])</f>
        <v xml:space="preserve"> - </v>
      </c>
      <c r="F57" s="31"/>
      <c r="G57" s="17">
        <f>ProjectsList[[#This Row],[Straight Time]]*1.5</f>
        <v>0</v>
      </c>
      <c r="H57" s="17">
        <f>ProjectsList[[#This Row],[Straight Time]]*0.5</f>
        <v>0</v>
      </c>
      <c r="I57" s="31"/>
      <c r="J57" s="16"/>
    </row>
    <row r="58" spans="2:10" ht="24" customHeight="1" x14ac:dyDescent="0.25">
      <c r="B58" s="42"/>
      <c r="C58" s="15"/>
      <c r="D58" s="5"/>
      <c r="E58" s="5" t="str">
        <f>_xlfn.CONCAT(ProjectsList[[#This Row],[Project No]]," - ",ProjectsList[[#This Row],[Project Description]])</f>
        <v xml:space="preserve"> - </v>
      </c>
      <c r="F58" s="31"/>
      <c r="G58" s="17">
        <f>ProjectsList[[#This Row],[Straight Time]]*1.5</f>
        <v>0</v>
      </c>
      <c r="H58" s="17">
        <f>ProjectsList[[#This Row],[Straight Time]]*0.5</f>
        <v>0</v>
      </c>
      <c r="I58" s="31"/>
      <c r="J58" s="16"/>
    </row>
    <row r="59" spans="2:10" ht="24" customHeight="1" x14ac:dyDescent="0.25">
      <c r="B59" s="42"/>
      <c r="C59" s="15"/>
      <c r="D59" s="5"/>
      <c r="E59" s="5" t="str">
        <f>_xlfn.CONCAT(ProjectsList[[#This Row],[Project No]]," - ",ProjectsList[[#This Row],[Project Description]])</f>
        <v xml:space="preserve"> - </v>
      </c>
      <c r="F59" s="31"/>
      <c r="G59" s="17">
        <f>ProjectsList[[#This Row],[Straight Time]]*1.5</f>
        <v>0</v>
      </c>
      <c r="H59" s="17">
        <f>ProjectsList[[#This Row],[Straight Time]]*0.5</f>
        <v>0</v>
      </c>
      <c r="I59" s="31"/>
      <c r="J59" s="16"/>
    </row>
    <row r="60" spans="2:10" ht="24" customHeight="1" x14ac:dyDescent="0.25">
      <c r="B60" s="42"/>
      <c r="C60" s="15"/>
      <c r="D60" s="5"/>
      <c r="E60" s="5" t="str">
        <f>_xlfn.CONCAT(ProjectsList[[#This Row],[Project No]]," - ",ProjectsList[[#This Row],[Project Description]])</f>
        <v xml:space="preserve"> - </v>
      </c>
      <c r="F60" s="31"/>
      <c r="G60" s="17">
        <f>ProjectsList[[#This Row],[Straight Time]]*1.5</f>
        <v>0</v>
      </c>
      <c r="H60" s="17">
        <f>ProjectsList[[#This Row],[Straight Time]]*0.5</f>
        <v>0</v>
      </c>
      <c r="I60" s="31"/>
      <c r="J60" s="16"/>
    </row>
    <row r="61" spans="2:10" ht="24" customHeight="1" x14ac:dyDescent="0.25">
      <c r="B61" s="42"/>
      <c r="C61" s="15"/>
      <c r="D61" s="5"/>
      <c r="E61" s="5" t="str">
        <f>_xlfn.CONCAT(ProjectsList[[#This Row],[Project No]]," - ",ProjectsList[[#This Row],[Project Description]])</f>
        <v xml:space="preserve"> - </v>
      </c>
      <c r="F61" s="31">
        <v>0</v>
      </c>
      <c r="G61" s="17">
        <f>ProjectsList[[#This Row],[Straight Time]]*1.5</f>
        <v>0</v>
      </c>
      <c r="H61" s="17">
        <f>ProjectsList[[#This Row],[Straight Time]]*0.5</f>
        <v>0</v>
      </c>
      <c r="I61" s="31">
        <v>0</v>
      </c>
      <c r="J61" s="16"/>
    </row>
  </sheetData>
  <sheetProtection formatCells="0" formatColumns="0" formatRows="0" insertRows="0" insertHyperlinks="0" deleteRows="0" selectLockedCells="1" sort="0" autoFilter="0" pivotTables="0"/>
  <conditionalFormatting sqref="B4:B61">
    <cfRule type="duplicateValues" dxfId="0" priority="56"/>
  </conditionalFormatting>
  <dataValidations count="1">
    <dataValidation type="list" allowBlank="1" showInputMessage="1" showErrorMessage="1" sqref="C4:C61" xr:uid="{F97A42A9-38EB-421E-9E1F-B6CBE418F8D3}">
      <formula1>CustomerLookup</formula1>
    </dataValidation>
  </dataValidations>
  <printOptions horizontalCentered="1"/>
  <pageMargins left="0.25" right="0.25" top="0.75" bottom="0.75" header="0.3" footer="0.3"/>
  <pageSetup scale="74" fitToHeight="0" orientation="landscape" r:id="rId1"/>
  <headerFooter differentFirst="1">
    <oddFooter>Page &amp;P of &amp;N</oddFoot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tabColor theme="4" tint="0.39997558519241921"/>
    <pageSetUpPr autoPageBreaks="0" fitToPage="1"/>
  </sheetPr>
  <dimension ref="B1:P285"/>
  <sheetViews>
    <sheetView showGridLines="0" zoomScaleNormal="100" workbookViewId="0">
      <pane ySplit="3" topLeftCell="A206" activePane="bottomLeft" state="frozen"/>
      <selection activeCell="G4" sqref="G4"/>
      <selection pane="bottomLeft" activeCell="J216" sqref="J216"/>
    </sheetView>
  </sheetViews>
  <sheetFormatPr defaultColWidth="9" defaultRowHeight="33.950000000000003" customHeight="1" x14ac:dyDescent="0.25"/>
  <cols>
    <col min="1" max="1" width="2.5703125" customWidth="1"/>
    <col min="2" max="2" width="10.7109375" customWidth="1"/>
    <col min="3" max="3" width="12.7109375" customWidth="1"/>
    <col min="4" max="4" width="30.7109375" customWidth="1"/>
    <col min="5" max="6" width="50.7109375" customWidth="1"/>
    <col min="7" max="7" width="9.7109375" customWidth="1"/>
    <col min="8" max="9" width="8.7109375" customWidth="1"/>
    <col min="10" max="10" width="10.7109375" customWidth="1"/>
    <col min="11" max="11" width="16.7109375" customWidth="1"/>
    <col min="12" max="12" width="12.7109375" customWidth="1"/>
    <col min="13" max="13" width="2.85546875" customWidth="1"/>
    <col min="14" max="14" width="9.85546875" customWidth="1"/>
    <col min="15" max="15" width="4.85546875" customWidth="1"/>
    <col min="16" max="16" width="5" customWidth="1"/>
    <col min="17" max="17" width="9.28515625" customWidth="1"/>
  </cols>
  <sheetData>
    <row r="1" spans="2:16" ht="30.95" customHeight="1" x14ac:dyDescent="0.25"/>
    <row r="2" spans="2:16" ht="29.1" customHeight="1" x14ac:dyDescent="0.25">
      <c r="B2" s="2" t="s">
        <v>49</v>
      </c>
      <c r="F2" s="70" t="s">
        <v>204</v>
      </c>
      <c r="G2" s="72">
        <f>TimeLog[[#Totals],[Hours]]</f>
        <v>814</v>
      </c>
      <c r="K2" s="70" t="s">
        <v>204</v>
      </c>
      <c r="L2" s="71">
        <f>TimeLog[[#Totals],[Total]]</f>
        <v>170340</v>
      </c>
    </row>
    <row r="3" spans="2:16" ht="24" customHeight="1" x14ac:dyDescent="0.25">
      <c r="B3" s="14" t="s">
        <v>26</v>
      </c>
      <c r="C3" s="14" t="s">
        <v>42</v>
      </c>
      <c r="D3" s="14" t="s">
        <v>35</v>
      </c>
      <c r="E3" s="14" t="s">
        <v>7</v>
      </c>
      <c r="F3" s="14" t="s">
        <v>28</v>
      </c>
      <c r="G3" s="14" t="s">
        <v>29</v>
      </c>
      <c r="H3" s="14" t="s">
        <v>30</v>
      </c>
      <c r="I3" s="14" t="s">
        <v>159</v>
      </c>
      <c r="J3" s="14" t="s">
        <v>50</v>
      </c>
      <c r="K3" s="14" t="s">
        <v>46</v>
      </c>
      <c r="L3" s="14" t="s">
        <v>45</v>
      </c>
      <c r="P3" s="35"/>
    </row>
    <row r="4" spans="2:16" ht="19.5" customHeight="1" x14ac:dyDescent="0.25">
      <c r="B4" s="27"/>
      <c r="C4" s="28"/>
      <c r="D4" s="29" t="str">
        <f>IFERROR(VLOOKUP(TimeLog[[#This Row],[Project No]],ProjectsList[],2,FALSE),"")</f>
        <v/>
      </c>
      <c r="E4" s="29" t="str">
        <f>IFERROR(VLOOKUP(TimeLog[[#This Row],[Project No]],ProjectsList[],3,FALSE),"")</f>
        <v/>
      </c>
      <c r="F4" s="21"/>
      <c r="G4" s="30"/>
      <c r="H4" s="41"/>
      <c r="I4" s="40"/>
      <c r="J4" s="43"/>
      <c r="K4" s="30" t="str" cm="1">
        <f t="array" ref="K4">IFERROR(VLOOKUP(TimeLog[[#This Row],[Project No]],ProjectsList[],_xlfn.SWITCH(TimeLog[[#This Row],[Type]],"ST",5,"OT",6,"TT",7,"HD",8),FALSE),"")</f>
        <v/>
      </c>
      <c r="L4" s="107" t="str">
        <f>IFERROR(TimeLog[[#This Row],[Rate]]*TimeLog[[#This Row],[Hours]],"")</f>
        <v/>
      </c>
    </row>
    <row r="5" spans="2:16" ht="19.5" customHeight="1" x14ac:dyDescent="0.25">
      <c r="B5" s="27">
        <v>45637</v>
      </c>
      <c r="C5" s="28">
        <v>491</v>
      </c>
      <c r="D5" s="29" t="str">
        <f>IFERROR(VLOOKUP(TimeLog[[#This Row],[Project No]],ProjectsList[],2,FALSE),"")</f>
        <v>TRK Engineering Services, Inc.</v>
      </c>
      <c r="E5" s="29" t="str">
        <f>IFERROR(VLOOKUP(TimeLog[[#This Row],[Project No]],ProjectsList[],3,FALSE),"")</f>
        <v>Suncor - Engineering</v>
      </c>
      <c r="F5" s="21" t="s">
        <v>103</v>
      </c>
      <c r="G5" s="30">
        <v>2</v>
      </c>
      <c r="H5" s="41" t="s">
        <v>47</v>
      </c>
      <c r="I5" s="40"/>
      <c r="J5" s="43">
        <v>630</v>
      </c>
      <c r="K5" s="30" cm="1">
        <f t="array" ref="K5">IFERROR(VLOOKUP(TimeLog[[#This Row],[Project No]],ProjectsList[],_xlfn.SWITCH(TimeLog[[#This Row],[Type]],"ST",5,"OT",6,"TT",7,"HD",8),FALSE),"")</f>
        <v>110</v>
      </c>
      <c r="L5" s="107">
        <f>IFERROR(TimeLog[[#This Row],[Rate]]*TimeLog[[#This Row],[Hours]],"")</f>
        <v>220</v>
      </c>
    </row>
    <row r="6" spans="2:16" ht="19.5" customHeight="1" x14ac:dyDescent="0.25">
      <c r="B6" s="27">
        <v>45643</v>
      </c>
      <c r="C6" s="28">
        <v>491</v>
      </c>
      <c r="D6" s="29" t="str">
        <f>IFERROR(VLOOKUP(TimeLog[[#This Row],[Project No]],ProjectsList[],2,FALSE),"")</f>
        <v>TRK Engineering Services, Inc.</v>
      </c>
      <c r="E6" s="29" t="str">
        <f>IFERROR(VLOOKUP(TimeLog[[#This Row],[Project No]],ProjectsList[],3,FALSE),"")</f>
        <v>Suncor - Engineering</v>
      </c>
      <c r="F6" s="21" t="s">
        <v>103</v>
      </c>
      <c r="G6" s="30">
        <v>1</v>
      </c>
      <c r="H6" s="41" t="s">
        <v>47</v>
      </c>
      <c r="I6" s="40"/>
      <c r="J6" s="43">
        <v>630</v>
      </c>
      <c r="K6" s="30" cm="1">
        <f t="array" ref="K6">IFERROR(VLOOKUP(TimeLog[[#This Row],[Project No]],ProjectsList[],_xlfn.SWITCH(TimeLog[[#This Row],[Type]],"ST",5,"OT",6,"TT",7,"HD",8),FALSE),"")</f>
        <v>110</v>
      </c>
      <c r="L6" s="107">
        <f>IFERROR(TimeLog[[#This Row],[Rate]]*TimeLog[[#This Row],[Hours]],"")</f>
        <v>110</v>
      </c>
    </row>
    <row r="7" spans="2:16" ht="19.5" customHeight="1" x14ac:dyDescent="0.25">
      <c r="B7" s="27">
        <v>45645</v>
      </c>
      <c r="C7" s="28">
        <v>491</v>
      </c>
      <c r="D7" s="29" t="str">
        <f>IFERROR(VLOOKUP(TimeLog[[#This Row],[Project No]],ProjectsList[],2,FALSE),"")</f>
        <v>TRK Engineering Services, Inc.</v>
      </c>
      <c r="E7" s="29" t="str">
        <f>IFERROR(VLOOKUP(TimeLog[[#This Row],[Project No]],ProjectsList[],3,FALSE),"")</f>
        <v>Suncor - Engineering</v>
      </c>
      <c r="F7" s="21" t="s">
        <v>103</v>
      </c>
      <c r="G7" s="30">
        <v>2</v>
      </c>
      <c r="H7" s="41" t="s">
        <v>47</v>
      </c>
      <c r="I7" s="40"/>
      <c r="J7" s="43">
        <v>630</v>
      </c>
      <c r="K7" s="30" cm="1">
        <f t="array" ref="K7">IFERROR(VLOOKUP(TimeLog[[#This Row],[Project No]],ProjectsList[],_xlfn.SWITCH(TimeLog[[#This Row],[Type]],"ST",5,"OT",6,"TT",7,"HD",8),FALSE),"")</f>
        <v>110</v>
      </c>
      <c r="L7" s="107">
        <f>IFERROR(TimeLog[[#This Row],[Rate]]*TimeLog[[#This Row],[Hours]],"")</f>
        <v>220</v>
      </c>
    </row>
    <row r="8" spans="2:16" ht="19.5" customHeight="1" x14ac:dyDescent="0.25">
      <c r="B8" s="27">
        <v>45649</v>
      </c>
      <c r="C8" s="28">
        <v>491</v>
      </c>
      <c r="D8" s="29" t="str">
        <f>IFERROR(VLOOKUP(TimeLog[[#This Row],[Project No]],ProjectsList[],2,FALSE),"")</f>
        <v>TRK Engineering Services, Inc.</v>
      </c>
      <c r="E8" s="29" t="str">
        <f>IFERROR(VLOOKUP(TimeLog[[#This Row],[Project No]],ProjectsList[],3,FALSE),"")</f>
        <v>Suncor - Engineering</v>
      </c>
      <c r="F8" s="21" t="s">
        <v>103</v>
      </c>
      <c r="G8" s="30">
        <v>5</v>
      </c>
      <c r="H8" s="41" t="s">
        <v>47</v>
      </c>
      <c r="I8" s="40"/>
      <c r="J8" s="43">
        <v>630</v>
      </c>
      <c r="K8" s="30" cm="1">
        <f t="array" ref="K8">IFERROR(VLOOKUP(TimeLog[[#This Row],[Project No]],ProjectsList[],_xlfn.SWITCH(TimeLog[[#This Row],[Type]],"ST",5,"OT",6,"TT",7,"HD",8),FALSE),"")</f>
        <v>110</v>
      </c>
      <c r="L8" s="107">
        <f>IFERROR(TimeLog[[#This Row],[Rate]]*TimeLog[[#This Row],[Hours]],"")</f>
        <v>550</v>
      </c>
    </row>
    <row r="9" spans="2:16" ht="19.5" customHeight="1" x14ac:dyDescent="0.25">
      <c r="B9" s="27">
        <v>45650</v>
      </c>
      <c r="C9" s="28">
        <v>491</v>
      </c>
      <c r="D9" s="29" t="str">
        <f>IFERROR(VLOOKUP(TimeLog[[#This Row],[Project No]],ProjectsList[],2,FALSE),"")</f>
        <v>TRK Engineering Services, Inc.</v>
      </c>
      <c r="E9" s="29" t="str">
        <f>IFERROR(VLOOKUP(TimeLog[[#This Row],[Project No]],ProjectsList[],3,FALSE),"")</f>
        <v>Suncor - Engineering</v>
      </c>
      <c r="F9" s="21" t="s">
        <v>103</v>
      </c>
      <c r="G9" s="30">
        <v>3</v>
      </c>
      <c r="H9" s="41" t="s">
        <v>47</v>
      </c>
      <c r="I9" s="40"/>
      <c r="J9" s="43">
        <v>630</v>
      </c>
      <c r="K9" s="30" cm="1">
        <f t="array" ref="K9">IFERROR(VLOOKUP(TimeLog[[#This Row],[Project No]],ProjectsList[],_xlfn.SWITCH(TimeLog[[#This Row],[Type]],"ST",5,"OT",6,"TT",7,"HD",8),FALSE),"")</f>
        <v>110</v>
      </c>
      <c r="L9" s="107">
        <f>IFERROR(TimeLog[[#This Row],[Rate]]*TimeLog[[#This Row],[Hours]],"")</f>
        <v>330</v>
      </c>
      <c r="N9" s="30"/>
      <c r="O9" s="108"/>
    </row>
    <row r="10" spans="2:16" ht="19.5" customHeight="1" x14ac:dyDescent="0.25">
      <c r="B10" s="27">
        <v>45655</v>
      </c>
      <c r="C10" s="28">
        <v>491</v>
      </c>
      <c r="D10" s="29" t="str">
        <f>IFERROR(VLOOKUP(TimeLog[[#This Row],[Project No]],ProjectsList[],2,FALSE),"")</f>
        <v>TRK Engineering Services, Inc.</v>
      </c>
      <c r="E10" s="29" t="str">
        <f>IFERROR(VLOOKUP(TimeLog[[#This Row],[Project No]],ProjectsList[],3,FALSE),"")</f>
        <v>Suncor - Engineering</v>
      </c>
      <c r="F10" s="21" t="s">
        <v>103</v>
      </c>
      <c r="G10" s="30">
        <v>3</v>
      </c>
      <c r="H10" s="41" t="s">
        <v>47</v>
      </c>
      <c r="I10" s="40"/>
      <c r="J10" s="43">
        <v>630</v>
      </c>
      <c r="K10" s="30" cm="1">
        <f t="array" ref="K10">IFERROR(VLOOKUP(TimeLog[[#This Row],[Project No]],ProjectsList[],_xlfn.SWITCH(TimeLog[[#This Row],[Type]],"ST",5,"OT",6,"TT",7,"HD",8),FALSE),"")</f>
        <v>110</v>
      </c>
      <c r="L10" s="107">
        <f>IFERROR(TimeLog[[#This Row],[Rate]]*TimeLog[[#This Row],[Hours]],"")</f>
        <v>330</v>
      </c>
    </row>
    <row r="11" spans="2:16" ht="19.5" customHeight="1" x14ac:dyDescent="0.25">
      <c r="B11" s="27">
        <v>45656</v>
      </c>
      <c r="C11" s="28">
        <v>491</v>
      </c>
      <c r="D11" s="29" t="str">
        <f>IFERROR(VLOOKUP(TimeLog[[#This Row],[Project No]],ProjectsList[],2,FALSE),"")</f>
        <v>TRK Engineering Services, Inc.</v>
      </c>
      <c r="E11" s="29" t="str">
        <f>IFERROR(VLOOKUP(TimeLog[[#This Row],[Project No]],ProjectsList[],3,FALSE),"")</f>
        <v>Suncor - Engineering</v>
      </c>
      <c r="F11" s="21" t="s">
        <v>103</v>
      </c>
      <c r="G11" s="30">
        <v>1</v>
      </c>
      <c r="H11" s="41" t="s">
        <v>47</v>
      </c>
      <c r="I11" s="40"/>
      <c r="J11" s="43">
        <v>630</v>
      </c>
      <c r="K11" s="30" cm="1">
        <f t="array" ref="K11">IFERROR(VLOOKUP(TimeLog[[#This Row],[Project No]],ProjectsList[],_xlfn.SWITCH(TimeLog[[#This Row],[Type]],"ST",5,"OT",6,"TT",7,"HD",8),FALSE),"")</f>
        <v>110</v>
      </c>
      <c r="L11" s="107">
        <f>IFERROR(TimeLog[[#This Row],[Rate]]*TimeLog[[#This Row],[Hours]],"")</f>
        <v>110</v>
      </c>
    </row>
    <row r="12" spans="2:16" ht="19.5" customHeight="1" x14ac:dyDescent="0.25">
      <c r="B12" s="27">
        <v>45663</v>
      </c>
      <c r="C12" s="28">
        <v>491</v>
      </c>
      <c r="D12" s="29" t="str">
        <f>IFERROR(VLOOKUP(TimeLog[[#This Row],[Project No]],ProjectsList[],2,FALSE),"")</f>
        <v>TRK Engineering Services, Inc.</v>
      </c>
      <c r="E12" s="29" t="str">
        <f>IFERROR(VLOOKUP(TimeLog[[#This Row],[Project No]],ProjectsList[],3,FALSE),"")</f>
        <v>Suncor - Engineering</v>
      </c>
      <c r="F12" s="21" t="s">
        <v>103</v>
      </c>
      <c r="G12" s="30">
        <v>3</v>
      </c>
      <c r="H12" s="41" t="s">
        <v>47</v>
      </c>
      <c r="I12" s="40"/>
      <c r="J12" s="43">
        <v>630</v>
      </c>
      <c r="K12" s="30" cm="1">
        <f t="array" ref="K12">IFERROR(VLOOKUP(TimeLog[[#This Row],[Project No]],ProjectsList[],_xlfn.SWITCH(TimeLog[[#This Row],[Type]],"ST",5,"OT",6,"TT",7,"HD",8),FALSE),"")</f>
        <v>110</v>
      </c>
      <c r="L12" s="107">
        <f>IFERROR(TimeLog[[#This Row],[Rate]]*TimeLog[[#This Row],[Hours]],"")</f>
        <v>330</v>
      </c>
    </row>
    <row r="13" spans="2:16" ht="19.5" customHeight="1" x14ac:dyDescent="0.25">
      <c r="B13" s="27">
        <v>45664</v>
      </c>
      <c r="C13" s="28">
        <v>491</v>
      </c>
      <c r="D13" s="29" t="str">
        <f>IFERROR(VLOOKUP(TimeLog[[#This Row],[Project No]],ProjectsList[],2,FALSE),"")</f>
        <v>TRK Engineering Services, Inc.</v>
      </c>
      <c r="E13" s="29" t="str">
        <f>IFERROR(VLOOKUP(TimeLog[[#This Row],[Project No]],ProjectsList[],3,FALSE),"")</f>
        <v>Suncor - Engineering</v>
      </c>
      <c r="F13" s="21" t="s">
        <v>103</v>
      </c>
      <c r="G13" s="30">
        <v>5</v>
      </c>
      <c r="H13" s="41" t="s">
        <v>47</v>
      </c>
      <c r="I13" s="40"/>
      <c r="J13" s="43">
        <v>630</v>
      </c>
      <c r="K13" s="30" cm="1">
        <f t="array" ref="K13">IFERROR(VLOOKUP(TimeLog[[#This Row],[Project No]],ProjectsList[],_xlfn.SWITCH(TimeLog[[#This Row],[Type]],"ST",5,"OT",6,"TT",7,"HD",8),FALSE),"")</f>
        <v>110</v>
      </c>
      <c r="L13" s="107">
        <f>IFERROR(TimeLog[[#This Row],[Rate]]*TimeLog[[#This Row],[Hours]],"")</f>
        <v>550</v>
      </c>
    </row>
    <row r="14" spans="2:16" ht="19.5" customHeight="1" x14ac:dyDescent="0.25">
      <c r="B14" s="27">
        <v>45665</v>
      </c>
      <c r="C14" s="28">
        <v>491</v>
      </c>
      <c r="D14" s="29" t="str">
        <f>IFERROR(VLOOKUP(TimeLog[[#This Row],[Project No]],ProjectsList[],2,FALSE),"")</f>
        <v>TRK Engineering Services, Inc.</v>
      </c>
      <c r="E14" s="29" t="str">
        <f>IFERROR(VLOOKUP(TimeLog[[#This Row],[Project No]],ProjectsList[],3,FALSE),"")</f>
        <v>Suncor - Engineering</v>
      </c>
      <c r="F14" s="21" t="s">
        <v>103</v>
      </c>
      <c r="G14" s="30">
        <v>6</v>
      </c>
      <c r="H14" s="41" t="s">
        <v>47</v>
      </c>
      <c r="I14" s="40"/>
      <c r="J14" s="43">
        <v>630</v>
      </c>
      <c r="K14" s="30" cm="1">
        <f t="array" ref="K14">IFERROR(VLOOKUP(TimeLog[[#This Row],[Project No]],ProjectsList[],_xlfn.SWITCH(TimeLog[[#This Row],[Type]],"ST",5,"OT",6,"TT",7,"HD",8),FALSE),"")</f>
        <v>110</v>
      </c>
      <c r="L14" s="107">
        <f>IFERROR(TimeLog[[#This Row],[Rate]]*TimeLog[[#This Row],[Hours]],"")</f>
        <v>660</v>
      </c>
    </row>
    <row r="15" spans="2:16" ht="19.5" customHeight="1" x14ac:dyDescent="0.25">
      <c r="B15" s="27">
        <v>45666</v>
      </c>
      <c r="C15" s="28">
        <v>491</v>
      </c>
      <c r="D15" s="29" t="str">
        <f>IFERROR(VLOOKUP(TimeLog[[#This Row],[Project No]],ProjectsList[],2,FALSE),"")</f>
        <v>TRK Engineering Services, Inc.</v>
      </c>
      <c r="E15" s="29" t="str">
        <f>IFERROR(VLOOKUP(TimeLog[[#This Row],[Project No]],ProjectsList[],3,FALSE),"")</f>
        <v>Suncor - Engineering</v>
      </c>
      <c r="F15" s="21" t="s">
        <v>103</v>
      </c>
      <c r="G15" s="30">
        <v>7</v>
      </c>
      <c r="H15" s="41" t="s">
        <v>47</v>
      </c>
      <c r="I15" s="40"/>
      <c r="J15" s="43">
        <v>630</v>
      </c>
      <c r="K15" s="30" cm="1">
        <f t="array" ref="K15">IFERROR(VLOOKUP(TimeLog[[#This Row],[Project No]],ProjectsList[],_xlfn.SWITCH(TimeLog[[#This Row],[Type]],"ST",5,"OT",6,"TT",7,"HD",8),FALSE),"")</f>
        <v>110</v>
      </c>
      <c r="L15" s="107">
        <f>IFERROR(TimeLog[[#This Row],[Rate]]*TimeLog[[#This Row],[Hours]],"")</f>
        <v>770</v>
      </c>
    </row>
    <row r="16" spans="2:16" ht="19.5" customHeight="1" x14ac:dyDescent="0.25">
      <c r="B16" s="27">
        <v>45667</v>
      </c>
      <c r="C16" s="28">
        <v>491</v>
      </c>
      <c r="D16" s="29" t="str">
        <f>IFERROR(VLOOKUP(TimeLog[[#This Row],[Project No]],ProjectsList[],2,FALSE),"")</f>
        <v>TRK Engineering Services, Inc.</v>
      </c>
      <c r="E16" s="29" t="str">
        <f>IFERROR(VLOOKUP(TimeLog[[#This Row],[Project No]],ProjectsList[],3,FALSE),"")</f>
        <v>Suncor - Engineering</v>
      </c>
      <c r="F16" s="21" t="s">
        <v>103</v>
      </c>
      <c r="G16" s="30">
        <v>3</v>
      </c>
      <c r="H16" s="41" t="s">
        <v>47</v>
      </c>
      <c r="I16" s="40"/>
      <c r="J16" s="43">
        <v>630</v>
      </c>
      <c r="K16" s="30" cm="1">
        <f t="array" ref="K16">IFERROR(VLOOKUP(TimeLog[[#This Row],[Project No]],ProjectsList[],_xlfn.SWITCH(TimeLog[[#This Row],[Type]],"ST",5,"OT",6,"TT",7,"HD",8),FALSE),"")</f>
        <v>110</v>
      </c>
      <c r="L16" s="107">
        <f>IFERROR(TimeLog[[#This Row],[Rate]]*TimeLog[[#This Row],[Hours]],"")</f>
        <v>330</v>
      </c>
    </row>
    <row r="17" spans="2:12" ht="19.5" customHeight="1" x14ac:dyDescent="0.25">
      <c r="B17" s="27">
        <v>45670</v>
      </c>
      <c r="C17" s="28">
        <v>502</v>
      </c>
      <c r="D17" s="29" t="str">
        <f>IFERROR(VLOOKUP(TimeLog[[#This Row],[Project No]],ProjectsList[],2,FALSE),"")</f>
        <v>TRK Engineering Services, Inc.</v>
      </c>
      <c r="E17" s="29" t="str">
        <f>IFERROR(VLOOKUP(TimeLog[[#This Row],[Project No]],ProjectsList[],3,FALSE),"")</f>
        <v>MMSD Outlet Duct - Model Study</v>
      </c>
      <c r="F17" s="21" t="s">
        <v>208</v>
      </c>
      <c r="G17" s="30">
        <v>1</v>
      </c>
      <c r="H17" s="41" t="s">
        <v>58</v>
      </c>
      <c r="I17" s="40"/>
      <c r="J17" s="43">
        <v>631</v>
      </c>
      <c r="K17" s="30" cm="1">
        <f t="array" ref="K17">IFERROR(VLOOKUP(TimeLog[[#This Row],[Project No]],ProjectsList[],_xlfn.SWITCH(TimeLog[[#This Row],[Type]],"ST",5,"OT",6,"TT",7,"HD",8),FALSE),"")</f>
        <v>24650</v>
      </c>
      <c r="L17" s="107">
        <f>IFERROR(TimeLog[[#This Row],[Rate]]*TimeLog[[#This Row],[Hours]],"")</f>
        <v>24650</v>
      </c>
    </row>
    <row r="18" spans="2:12" ht="19.5" customHeight="1" x14ac:dyDescent="0.25">
      <c r="B18" s="27">
        <v>45671</v>
      </c>
      <c r="C18" s="28">
        <v>491</v>
      </c>
      <c r="D18" s="29" t="str">
        <f>IFERROR(VLOOKUP(TimeLog[[#This Row],[Project No]],ProjectsList[],2,FALSE),"")</f>
        <v>TRK Engineering Services, Inc.</v>
      </c>
      <c r="E18" s="29" t="str">
        <f>IFERROR(VLOOKUP(TimeLog[[#This Row],[Project No]],ProjectsList[],3,FALSE),"")</f>
        <v>Suncor - Engineering</v>
      </c>
      <c r="F18" s="21" t="s">
        <v>68</v>
      </c>
      <c r="G18" s="30">
        <v>2</v>
      </c>
      <c r="H18" s="41" t="s">
        <v>47</v>
      </c>
      <c r="I18" s="40"/>
      <c r="J18" s="43">
        <v>630</v>
      </c>
      <c r="K18" s="30" cm="1">
        <f t="array" ref="K18">IFERROR(VLOOKUP(TimeLog[[#This Row],[Project No]],ProjectsList[],_xlfn.SWITCH(TimeLog[[#This Row],[Type]],"ST",5,"OT",6,"TT",7,"HD",8),FALSE),"")</f>
        <v>110</v>
      </c>
      <c r="L18" s="107">
        <f>IFERROR(TimeLog[[#This Row],[Rate]]*TimeLog[[#This Row],[Hours]],"")</f>
        <v>220</v>
      </c>
    </row>
    <row r="19" spans="2:12" ht="19.5" customHeight="1" x14ac:dyDescent="0.25">
      <c r="B19" s="27">
        <v>45672</v>
      </c>
      <c r="C19" s="28">
        <v>491</v>
      </c>
      <c r="D19" s="29" t="str">
        <f>IFERROR(VLOOKUP(TimeLog[[#This Row],[Project No]],ProjectsList[],2,FALSE),"")</f>
        <v>TRK Engineering Services, Inc.</v>
      </c>
      <c r="E19" s="29" t="str">
        <f>IFERROR(VLOOKUP(TimeLog[[#This Row],[Project No]],ProjectsList[],3,FALSE),"")</f>
        <v>Suncor - Engineering</v>
      </c>
      <c r="F19" s="21" t="s">
        <v>103</v>
      </c>
      <c r="G19" s="30">
        <v>1</v>
      </c>
      <c r="H19" s="41" t="s">
        <v>47</v>
      </c>
      <c r="I19" s="40"/>
      <c r="J19" s="43">
        <v>630</v>
      </c>
      <c r="K19" s="30" cm="1">
        <f t="array" ref="K19">IFERROR(VLOOKUP(TimeLog[[#This Row],[Project No]],ProjectsList[],_xlfn.SWITCH(TimeLog[[#This Row],[Type]],"ST",5,"OT",6,"TT",7,"HD",8),FALSE),"")</f>
        <v>110</v>
      </c>
      <c r="L19" s="107">
        <f>IFERROR(TimeLog[[#This Row],[Rate]]*TimeLog[[#This Row],[Hours]],"")</f>
        <v>110</v>
      </c>
    </row>
    <row r="20" spans="2:12" ht="19.5" customHeight="1" x14ac:dyDescent="0.25">
      <c r="B20" s="27">
        <v>45673</v>
      </c>
      <c r="C20" s="28">
        <v>491</v>
      </c>
      <c r="D20" s="29" t="str">
        <f>IFERROR(VLOOKUP(TimeLog[[#This Row],[Project No]],ProjectsList[],2,FALSE),"")</f>
        <v>TRK Engineering Services, Inc.</v>
      </c>
      <c r="E20" s="29" t="str">
        <f>IFERROR(VLOOKUP(TimeLog[[#This Row],[Project No]],ProjectsList[],3,FALSE),"")</f>
        <v>Suncor - Engineering</v>
      </c>
      <c r="F20" s="21" t="s">
        <v>103</v>
      </c>
      <c r="G20" s="30">
        <v>2</v>
      </c>
      <c r="H20" s="41" t="s">
        <v>47</v>
      </c>
      <c r="I20" s="40"/>
      <c r="J20" s="43">
        <v>630</v>
      </c>
      <c r="K20" s="30" cm="1">
        <f t="array" ref="K20">IFERROR(VLOOKUP(TimeLog[[#This Row],[Project No]],ProjectsList[],_xlfn.SWITCH(TimeLog[[#This Row],[Type]],"ST",5,"OT",6,"TT",7,"HD",8),FALSE),"")</f>
        <v>110</v>
      </c>
      <c r="L20" s="107">
        <f>IFERROR(TimeLog[[#This Row],[Rate]]*TimeLog[[#This Row],[Hours]],"")</f>
        <v>220</v>
      </c>
    </row>
    <row r="21" spans="2:12" ht="19.5" customHeight="1" x14ac:dyDescent="0.25">
      <c r="B21" s="27">
        <v>45677</v>
      </c>
      <c r="C21" s="28">
        <v>491</v>
      </c>
      <c r="D21" s="29" t="str">
        <f>IFERROR(VLOOKUP(TimeLog[[#This Row],[Project No]],ProjectsList[],2,FALSE),"")</f>
        <v>TRK Engineering Services, Inc.</v>
      </c>
      <c r="E21" s="29" t="str">
        <f>IFERROR(VLOOKUP(TimeLog[[#This Row],[Project No]],ProjectsList[],3,FALSE),"")</f>
        <v>Suncor - Engineering</v>
      </c>
      <c r="F21" s="21" t="s">
        <v>103</v>
      </c>
      <c r="G21" s="30">
        <v>2</v>
      </c>
      <c r="H21" s="41" t="s">
        <v>47</v>
      </c>
      <c r="I21" s="40"/>
      <c r="J21" s="43">
        <v>630</v>
      </c>
      <c r="K21" s="30" cm="1">
        <f t="array" ref="K21">IFERROR(VLOOKUP(TimeLog[[#This Row],[Project No]],ProjectsList[],_xlfn.SWITCH(TimeLog[[#This Row],[Type]],"ST",5,"OT",6,"TT",7,"HD",8),FALSE),"")</f>
        <v>110</v>
      </c>
      <c r="L21" s="107">
        <f>IFERROR(TimeLog[[#This Row],[Rate]]*TimeLog[[#This Row],[Hours]],"")</f>
        <v>220</v>
      </c>
    </row>
    <row r="22" spans="2:12" ht="19.5" customHeight="1" x14ac:dyDescent="0.25">
      <c r="B22" s="27">
        <v>45679</v>
      </c>
      <c r="C22" s="28">
        <v>503</v>
      </c>
      <c r="D22" s="29" t="str">
        <f>IFERROR(VLOOKUP(TimeLog[[#This Row],[Project No]],ProjectsList[],2,FALSE),"")</f>
        <v>TRK Engineering Services, Inc.</v>
      </c>
      <c r="E22" s="29" t="str">
        <f>IFERROR(VLOOKUP(TimeLog[[#This Row],[Project No]],ProjectsList[],3,FALSE),"")</f>
        <v>Suncor Model Study - Inlet &amp;Coke Fines</v>
      </c>
      <c r="F22" s="21" t="s">
        <v>129</v>
      </c>
      <c r="G22" s="30">
        <v>1</v>
      </c>
      <c r="H22" s="41" t="s">
        <v>58</v>
      </c>
      <c r="I22" s="40"/>
      <c r="J22" s="43">
        <v>635</v>
      </c>
      <c r="K22" s="30" cm="1">
        <f t="array" ref="K22">IFERROR(VLOOKUP(TimeLog[[#This Row],[Project No]],ProjectsList[],_xlfn.SWITCH(TimeLog[[#This Row],[Type]],"ST",5,"OT",6,"TT",7,"HD",8),FALSE),"")</f>
        <v>30000</v>
      </c>
      <c r="L22" s="107">
        <f>IFERROR(TimeLog[[#This Row],[Rate]]*TimeLog[[#This Row],[Hours]],"")</f>
        <v>30000</v>
      </c>
    </row>
    <row r="23" spans="2:12" ht="19.5" customHeight="1" x14ac:dyDescent="0.25">
      <c r="B23" s="27">
        <v>45679</v>
      </c>
      <c r="C23" s="28">
        <v>491</v>
      </c>
      <c r="D23" s="29" t="str">
        <f>IFERROR(VLOOKUP(TimeLog[[#This Row],[Project No]],ProjectsList[],2,FALSE),"")</f>
        <v>TRK Engineering Services, Inc.</v>
      </c>
      <c r="E23" s="29" t="str">
        <f>IFERROR(VLOOKUP(TimeLog[[#This Row],[Project No]],ProjectsList[],3,FALSE),"")</f>
        <v>Suncor - Engineering</v>
      </c>
      <c r="F23" s="21" t="s">
        <v>103</v>
      </c>
      <c r="G23" s="30">
        <v>2</v>
      </c>
      <c r="H23" s="41" t="s">
        <v>47</v>
      </c>
      <c r="I23" s="40"/>
      <c r="J23" s="43">
        <v>630</v>
      </c>
      <c r="K23" s="30" cm="1">
        <f t="array" ref="K23">IFERROR(VLOOKUP(TimeLog[[#This Row],[Project No]],ProjectsList[],_xlfn.SWITCH(TimeLog[[#This Row],[Type]],"ST",5,"OT",6,"TT",7,"HD",8),FALSE),"")</f>
        <v>110</v>
      </c>
      <c r="L23" s="107">
        <f>IFERROR(TimeLog[[#This Row],[Rate]]*TimeLog[[#This Row],[Hours]],"")</f>
        <v>220</v>
      </c>
    </row>
    <row r="24" spans="2:12" ht="19.5" customHeight="1" x14ac:dyDescent="0.25">
      <c r="B24" s="27">
        <v>45680</v>
      </c>
      <c r="C24" s="28">
        <v>491</v>
      </c>
      <c r="D24" s="29" t="str">
        <f>IFERROR(VLOOKUP(TimeLog[[#This Row],[Project No]],ProjectsList[],2,FALSE),"")</f>
        <v>TRK Engineering Services, Inc.</v>
      </c>
      <c r="E24" s="29" t="str">
        <f>IFERROR(VLOOKUP(TimeLog[[#This Row],[Project No]],ProjectsList[],3,FALSE),"")</f>
        <v>Suncor - Engineering</v>
      </c>
      <c r="F24" s="21" t="s">
        <v>103</v>
      </c>
      <c r="G24" s="30">
        <v>2</v>
      </c>
      <c r="H24" s="41" t="s">
        <v>47</v>
      </c>
      <c r="I24" s="40"/>
      <c r="J24" s="43">
        <v>630</v>
      </c>
      <c r="K24" s="30" cm="1">
        <f t="array" ref="K24">IFERROR(VLOOKUP(TimeLog[[#This Row],[Project No]],ProjectsList[],_xlfn.SWITCH(TimeLog[[#This Row],[Type]],"ST",5,"OT",6,"TT",7,"HD",8),FALSE),"")</f>
        <v>110</v>
      </c>
      <c r="L24" s="107">
        <f>IFERROR(TimeLog[[#This Row],[Rate]]*TimeLog[[#This Row],[Hours]],"")</f>
        <v>220</v>
      </c>
    </row>
    <row r="25" spans="2:12" ht="19.5" customHeight="1" x14ac:dyDescent="0.25">
      <c r="B25" s="27">
        <v>45682</v>
      </c>
      <c r="C25" s="28">
        <v>491</v>
      </c>
      <c r="D25" s="29" t="str">
        <f>IFERROR(VLOOKUP(TimeLog[[#This Row],[Project No]],ProjectsList[],2,FALSE),"")</f>
        <v>TRK Engineering Services, Inc.</v>
      </c>
      <c r="E25" s="29" t="str">
        <f>IFERROR(VLOOKUP(TimeLog[[#This Row],[Project No]],ProjectsList[],3,FALSE),"")</f>
        <v>Suncor - Engineering</v>
      </c>
      <c r="F25" s="21" t="s">
        <v>103</v>
      </c>
      <c r="G25" s="30">
        <v>2</v>
      </c>
      <c r="H25" s="41" t="s">
        <v>47</v>
      </c>
      <c r="I25" s="40"/>
      <c r="J25" s="43">
        <v>630</v>
      </c>
      <c r="K25" s="30" cm="1">
        <f t="array" ref="K25">IFERROR(VLOOKUP(TimeLog[[#This Row],[Project No]],ProjectsList[],_xlfn.SWITCH(TimeLog[[#This Row],[Type]],"ST",5,"OT",6,"TT",7,"HD",8),FALSE),"")</f>
        <v>110</v>
      </c>
      <c r="L25" s="107">
        <f>IFERROR(TimeLog[[#This Row],[Rate]]*TimeLog[[#This Row],[Hours]],"")</f>
        <v>220</v>
      </c>
    </row>
    <row r="26" spans="2:12" ht="19.5" customHeight="1" x14ac:dyDescent="0.25">
      <c r="B26" s="27">
        <v>45684</v>
      </c>
      <c r="C26" s="28">
        <v>505</v>
      </c>
      <c r="D26" s="29" t="str">
        <f>IFERROR(VLOOKUP(TimeLog[[#This Row],[Project No]],ProjectsList[],2,FALSE),"")</f>
        <v>TRK Engineering Services, Inc.</v>
      </c>
      <c r="E26" s="29" t="str">
        <f>IFERROR(VLOOKUP(TimeLog[[#This Row],[Project No]],ProjectsList[],3,FALSE),"")</f>
        <v>Holcim - Ada - Inspection</v>
      </c>
      <c r="F26" s="21" t="s">
        <v>144</v>
      </c>
      <c r="G26" s="30">
        <v>8</v>
      </c>
      <c r="H26" s="41" t="s">
        <v>48</v>
      </c>
      <c r="I26" s="40"/>
      <c r="J26" s="43">
        <v>632</v>
      </c>
      <c r="K26" s="30" cm="1">
        <f t="array" ref="K26">IFERROR(VLOOKUP(TimeLog[[#This Row],[Project No]],ProjectsList[],_xlfn.SWITCH(TimeLog[[#This Row],[Type]],"ST",5,"OT",6,"TT",7,"HD",8),FALSE),"")</f>
        <v>55</v>
      </c>
      <c r="L26" s="107">
        <f>IFERROR(TimeLog[[#This Row],[Rate]]*TimeLog[[#This Row],[Hours]],"")</f>
        <v>440</v>
      </c>
    </row>
    <row r="27" spans="2:12" ht="19.5" customHeight="1" x14ac:dyDescent="0.25">
      <c r="B27" s="27">
        <v>45684</v>
      </c>
      <c r="C27" s="28">
        <v>506</v>
      </c>
      <c r="D27" s="29" t="str">
        <f>IFERROR(VLOOKUP(TimeLog[[#This Row],[Project No]],ProjectsList[],2,FALSE),"")</f>
        <v>TRK Engineering Services, Inc.</v>
      </c>
      <c r="E27" s="29" t="str">
        <f>IFERROR(VLOOKUP(TimeLog[[#This Row],[Project No]],ProjectsList[],3,FALSE),"")</f>
        <v>Suncor Weekly Meetings</v>
      </c>
      <c r="F27" s="21" t="s">
        <v>68</v>
      </c>
      <c r="G27" s="30">
        <v>3</v>
      </c>
      <c r="H27" s="41" t="s">
        <v>47</v>
      </c>
      <c r="I27" s="40"/>
      <c r="J27" s="43">
        <v>636</v>
      </c>
      <c r="K27" s="30" cm="1">
        <f t="array" ref="K27">IFERROR(VLOOKUP(TimeLog[[#This Row],[Project No]],ProjectsList[],_xlfn.SWITCH(TimeLog[[#This Row],[Type]],"ST",5,"OT",6,"TT",7,"HD",8),FALSE),"")</f>
        <v>110</v>
      </c>
      <c r="L27" s="107">
        <f>IFERROR(TimeLog[[#This Row],[Rate]]*TimeLog[[#This Row],[Hours]],"")</f>
        <v>330</v>
      </c>
    </row>
    <row r="28" spans="2:12" ht="19.5" customHeight="1" x14ac:dyDescent="0.25">
      <c r="B28" s="27">
        <v>45685</v>
      </c>
      <c r="C28" s="28">
        <v>505</v>
      </c>
      <c r="D28" s="29" t="str">
        <f>IFERROR(VLOOKUP(TimeLog[[#This Row],[Project No]],ProjectsList[],2,FALSE),"")</f>
        <v>TRK Engineering Services, Inc.</v>
      </c>
      <c r="E28" s="29" t="str">
        <f>IFERROR(VLOOKUP(TimeLog[[#This Row],[Project No]],ProjectsList[],3,FALSE),"")</f>
        <v>Holcim - Ada - Inspection</v>
      </c>
      <c r="F28" s="21" t="s">
        <v>145</v>
      </c>
      <c r="G28" s="30">
        <v>8</v>
      </c>
      <c r="H28" s="41" t="s">
        <v>47</v>
      </c>
      <c r="I28" s="40"/>
      <c r="J28" s="43">
        <v>632</v>
      </c>
      <c r="K28" s="30" cm="1">
        <f t="array" ref="K28">IFERROR(VLOOKUP(TimeLog[[#This Row],[Project No]],ProjectsList[],_xlfn.SWITCH(TimeLog[[#This Row],[Type]],"ST",5,"OT",6,"TT",7,"HD",8),FALSE),"")</f>
        <v>110</v>
      </c>
      <c r="L28" s="107">
        <f>IFERROR(TimeLog[[#This Row],[Rate]]*TimeLog[[#This Row],[Hours]],"")</f>
        <v>880</v>
      </c>
    </row>
    <row r="29" spans="2:12" ht="19.5" customHeight="1" x14ac:dyDescent="0.25">
      <c r="B29" s="27">
        <v>45685</v>
      </c>
      <c r="C29" s="28">
        <v>506</v>
      </c>
      <c r="D29" s="29" t="str">
        <f>IFERROR(VLOOKUP(TimeLog[[#This Row],[Project No]],ProjectsList[],2,FALSE),"")</f>
        <v>TRK Engineering Services, Inc.</v>
      </c>
      <c r="E29" s="29" t="str">
        <f>IFERROR(VLOOKUP(TimeLog[[#This Row],[Project No]],ProjectsList[],3,FALSE),"")</f>
        <v>Suncor Weekly Meetings</v>
      </c>
      <c r="F29" s="21" t="s">
        <v>68</v>
      </c>
      <c r="G29" s="30">
        <v>2</v>
      </c>
      <c r="H29" s="41" t="s">
        <v>47</v>
      </c>
      <c r="I29" s="40"/>
      <c r="J29" s="43">
        <v>636</v>
      </c>
      <c r="K29" s="30" cm="1">
        <f t="array" ref="K29">IFERROR(VLOOKUP(TimeLog[[#This Row],[Project No]],ProjectsList[],_xlfn.SWITCH(TimeLog[[#This Row],[Type]],"ST",5,"OT",6,"TT",7,"HD",8),FALSE),"")</f>
        <v>110</v>
      </c>
      <c r="L29" s="107">
        <f>IFERROR(TimeLog[[#This Row],[Rate]]*TimeLog[[#This Row],[Hours]],"")</f>
        <v>220</v>
      </c>
    </row>
    <row r="30" spans="2:12" ht="19.5" customHeight="1" x14ac:dyDescent="0.25">
      <c r="B30" s="27">
        <v>45686</v>
      </c>
      <c r="C30" s="28">
        <v>505</v>
      </c>
      <c r="D30" s="29" t="str">
        <f>IFERROR(VLOOKUP(TimeLog[[#This Row],[Project No]],ProjectsList[],2,FALSE),"")</f>
        <v>TRK Engineering Services, Inc.</v>
      </c>
      <c r="E30" s="29" t="str">
        <f>IFERROR(VLOOKUP(TimeLog[[#This Row],[Project No]],ProjectsList[],3,FALSE),"")</f>
        <v>Holcim - Ada - Inspection</v>
      </c>
      <c r="F30" s="21" t="s">
        <v>145</v>
      </c>
      <c r="G30" s="30">
        <v>8</v>
      </c>
      <c r="H30" s="41" t="s">
        <v>47</v>
      </c>
      <c r="I30" s="40"/>
      <c r="J30" s="43">
        <v>632</v>
      </c>
      <c r="K30" s="30" cm="1">
        <f t="array" ref="K30">IFERROR(VLOOKUP(TimeLog[[#This Row],[Project No]],ProjectsList[],_xlfn.SWITCH(TimeLog[[#This Row],[Type]],"ST",5,"OT",6,"TT",7,"HD",8),FALSE),"")</f>
        <v>110</v>
      </c>
      <c r="L30" s="107">
        <f>IFERROR(TimeLog[[#This Row],[Rate]]*TimeLog[[#This Row],[Hours]],"")</f>
        <v>880</v>
      </c>
    </row>
    <row r="31" spans="2:12" ht="19.5" customHeight="1" x14ac:dyDescent="0.25">
      <c r="B31" s="27">
        <v>45686</v>
      </c>
      <c r="C31" s="28">
        <v>491</v>
      </c>
      <c r="D31" s="29" t="str">
        <f>IFERROR(VLOOKUP(TimeLog[[#This Row],[Project No]],ProjectsList[],2,FALSE),"")</f>
        <v>TRK Engineering Services, Inc.</v>
      </c>
      <c r="E31" s="29" t="str">
        <f>IFERROR(VLOOKUP(TimeLog[[#This Row],[Project No]],ProjectsList[],3,FALSE),"")</f>
        <v>Suncor - Engineering</v>
      </c>
      <c r="F31" s="21" t="s">
        <v>103</v>
      </c>
      <c r="G31" s="30">
        <v>3</v>
      </c>
      <c r="H31" s="41" t="s">
        <v>47</v>
      </c>
      <c r="I31" s="40"/>
      <c r="J31" s="43">
        <v>633</v>
      </c>
      <c r="K31" s="30" cm="1">
        <f t="array" ref="K31">IFERROR(VLOOKUP(TimeLog[[#This Row],[Project No]],ProjectsList[],_xlfn.SWITCH(TimeLog[[#This Row],[Type]],"ST",5,"OT",6,"TT",7,"HD",8),FALSE),"")</f>
        <v>110</v>
      </c>
      <c r="L31" s="107">
        <f>IFERROR(TimeLog[[#This Row],[Rate]]*TimeLog[[#This Row],[Hours]],"")</f>
        <v>330</v>
      </c>
    </row>
    <row r="32" spans="2:12" ht="19.5" customHeight="1" x14ac:dyDescent="0.25">
      <c r="B32" s="27">
        <v>45687</v>
      </c>
      <c r="C32" s="28">
        <v>505</v>
      </c>
      <c r="D32" s="29" t="str">
        <f>IFERROR(VLOOKUP(TimeLog[[#This Row],[Project No]],ProjectsList[],2,FALSE),"")</f>
        <v>TRK Engineering Services, Inc.</v>
      </c>
      <c r="E32" s="29" t="str">
        <f>IFERROR(VLOOKUP(TimeLog[[#This Row],[Project No]],ProjectsList[],3,FALSE),"")</f>
        <v>Holcim - Ada - Inspection</v>
      </c>
      <c r="F32" s="21" t="s">
        <v>145</v>
      </c>
      <c r="G32" s="30">
        <v>8</v>
      </c>
      <c r="H32" s="41" t="s">
        <v>47</v>
      </c>
      <c r="I32" s="40"/>
      <c r="J32" s="43">
        <v>632</v>
      </c>
      <c r="K32" s="30" cm="1">
        <f t="array" ref="K32">IFERROR(VLOOKUP(TimeLog[[#This Row],[Project No]],ProjectsList[],_xlfn.SWITCH(TimeLog[[#This Row],[Type]],"ST",5,"OT",6,"TT",7,"HD",8),FALSE),"")</f>
        <v>110</v>
      </c>
      <c r="L32" s="107">
        <f>IFERROR(TimeLog[[#This Row],[Rate]]*TimeLog[[#This Row],[Hours]],"")</f>
        <v>880</v>
      </c>
    </row>
    <row r="33" spans="2:12" ht="19.5" customHeight="1" x14ac:dyDescent="0.25">
      <c r="B33" s="27">
        <v>45688</v>
      </c>
      <c r="C33" s="28">
        <v>505</v>
      </c>
      <c r="D33" s="29" t="str">
        <f>IFERROR(VLOOKUP(TimeLog[[#This Row],[Project No]],ProjectsList[],2,FALSE),"")</f>
        <v>TRK Engineering Services, Inc.</v>
      </c>
      <c r="E33" s="29" t="str">
        <f>IFERROR(VLOOKUP(TimeLog[[#This Row],[Project No]],ProjectsList[],3,FALSE),"")</f>
        <v>Holcim - Ada - Inspection</v>
      </c>
      <c r="F33" s="21" t="s">
        <v>146</v>
      </c>
      <c r="G33" s="30">
        <v>8</v>
      </c>
      <c r="H33" s="41" t="s">
        <v>48</v>
      </c>
      <c r="I33" s="40"/>
      <c r="J33" s="43">
        <v>632</v>
      </c>
      <c r="K33" s="30" cm="1">
        <f t="array" ref="K33">IFERROR(VLOOKUP(TimeLog[[#This Row],[Project No]],ProjectsList[],_xlfn.SWITCH(TimeLog[[#This Row],[Type]],"ST",5,"OT",6,"TT",7,"HD",8),FALSE),"")</f>
        <v>55</v>
      </c>
      <c r="L33" s="107">
        <f>IFERROR(TimeLog[[#This Row],[Rate]]*TimeLog[[#This Row],[Hours]],"")</f>
        <v>440</v>
      </c>
    </row>
    <row r="34" spans="2:12" ht="19.5" customHeight="1" x14ac:dyDescent="0.25">
      <c r="B34" s="27">
        <v>45690</v>
      </c>
      <c r="C34" s="28">
        <v>491</v>
      </c>
      <c r="D34" s="29" t="str">
        <f>IFERROR(VLOOKUP(TimeLog[[#This Row],[Project No]],ProjectsList[],2,FALSE),"")</f>
        <v>TRK Engineering Services, Inc.</v>
      </c>
      <c r="E34" s="29" t="str">
        <f>IFERROR(VLOOKUP(TimeLog[[#This Row],[Project No]],ProjectsList[],3,FALSE),"")</f>
        <v>Suncor - Engineering</v>
      </c>
      <c r="F34" s="21" t="s">
        <v>103</v>
      </c>
      <c r="G34" s="30">
        <v>5</v>
      </c>
      <c r="H34" s="41" t="s">
        <v>47</v>
      </c>
      <c r="I34" s="40"/>
      <c r="J34" s="43">
        <v>633</v>
      </c>
      <c r="K34" s="30" cm="1">
        <f t="array" ref="K34">IFERROR(VLOOKUP(TimeLog[[#This Row],[Project No]],ProjectsList[],_xlfn.SWITCH(TimeLog[[#This Row],[Type]],"ST",5,"OT",6,"TT",7,"HD",8),FALSE),"")</f>
        <v>110</v>
      </c>
      <c r="L34" s="107">
        <f>IFERROR(TimeLog[[#This Row],[Rate]]*TimeLog[[#This Row],[Hours]],"")</f>
        <v>550</v>
      </c>
    </row>
    <row r="35" spans="2:12" ht="19.5" customHeight="1" x14ac:dyDescent="0.25">
      <c r="B35" s="27">
        <v>45691</v>
      </c>
      <c r="C35" s="28">
        <v>506</v>
      </c>
      <c r="D35" s="29" t="str">
        <f>IFERROR(VLOOKUP(TimeLog[[#This Row],[Project No]],ProjectsList[],2,FALSE),"")</f>
        <v>TRK Engineering Services, Inc.</v>
      </c>
      <c r="E35" s="29" t="str">
        <f>IFERROR(VLOOKUP(TimeLog[[#This Row],[Project No]],ProjectsList[],3,FALSE),"")</f>
        <v>Suncor Weekly Meetings</v>
      </c>
      <c r="F35" s="21" t="s">
        <v>68</v>
      </c>
      <c r="G35" s="30">
        <v>2</v>
      </c>
      <c r="H35" s="41" t="s">
        <v>47</v>
      </c>
      <c r="I35" s="40"/>
      <c r="J35" s="43">
        <v>636</v>
      </c>
      <c r="K35" s="30" cm="1">
        <f t="array" ref="K35">IFERROR(VLOOKUP(TimeLog[[#This Row],[Project No]],ProjectsList[],_xlfn.SWITCH(TimeLog[[#This Row],[Type]],"ST",5,"OT",6,"TT",7,"HD",8),FALSE),"")</f>
        <v>110</v>
      </c>
      <c r="L35" s="107">
        <f>IFERROR(TimeLog[[#This Row],[Rate]]*TimeLog[[#This Row],[Hours]],"")</f>
        <v>220</v>
      </c>
    </row>
    <row r="36" spans="2:12" ht="19.5" customHeight="1" x14ac:dyDescent="0.25">
      <c r="B36" s="27">
        <v>45692</v>
      </c>
      <c r="C36" s="28">
        <v>506</v>
      </c>
      <c r="D36" s="29" t="str">
        <f>IFERROR(VLOOKUP(TimeLog[[#This Row],[Project No]],ProjectsList[],2,FALSE),"")</f>
        <v>TRK Engineering Services, Inc.</v>
      </c>
      <c r="E36" s="29" t="str">
        <f>IFERROR(VLOOKUP(TimeLog[[#This Row],[Project No]],ProjectsList[],3,FALSE),"")</f>
        <v>Suncor Weekly Meetings</v>
      </c>
      <c r="F36" s="21" t="s">
        <v>68</v>
      </c>
      <c r="G36" s="30">
        <v>2</v>
      </c>
      <c r="H36" s="41" t="s">
        <v>47</v>
      </c>
      <c r="I36" s="40"/>
      <c r="J36" s="43">
        <v>636</v>
      </c>
      <c r="K36" s="30" cm="1">
        <f t="array" ref="K36">IFERROR(VLOOKUP(TimeLog[[#This Row],[Project No]],ProjectsList[],_xlfn.SWITCH(TimeLog[[#This Row],[Type]],"ST",5,"OT",6,"TT",7,"HD",8),FALSE),"")</f>
        <v>110</v>
      </c>
      <c r="L36" s="107">
        <f>IFERROR(TimeLog[[#This Row],[Rate]]*TimeLog[[#This Row],[Hours]],"")</f>
        <v>220</v>
      </c>
    </row>
    <row r="37" spans="2:12" ht="19.5" customHeight="1" x14ac:dyDescent="0.25">
      <c r="B37" s="27">
        <v>45693</v>
      </c>
      <c r="C37" s="28">
        <v>507</v>
      </c>
      <c r="D37" s="29" t="str">
        <f>IFERROR(VLOOKUP(TimeLog[[#This Row],[Project No]],ProjectsList[],2,FALSE),"")</f>
        <v>TRK Engineering Services, Inc.</v>
      </c>
      <c r="E37" s="29" t="str">
        <f>IFERROR(VLOOKUP(TimeLog[[#This Row],[Project No]],ProjectsList[],3,FALSE),"")</f>
        <v>Suncor Extra Engineering</v>
      </c>
      <c r="F37" s="21" t="s">
        <v>150</v>
      </c>
      <c r="G37" s="30">
        <v>5</v>
      </c>
      <c r="H37" s="41" t="s">
        <v>47</v>
      </c>
      <c r="I37" s="40"/>
      <c r="J37" s="43">
        <v>637</v>
      </c>
      <c r="K37" s="30" cm="1">
        <f t="array" ref="K37">IFERROR(VLOOKUP(TimeLog[[#This Row],[Project No]],ProjectsList[],_xlfn.SWITCH(TimeLog[[#This Row],[Type]],"ST",5,"OT",6,"TT",7,"HD",8),FALSE),"")</f>
        <v>110</v>
      </c>
      <c r="L37" s="107">
        <f>IFERROR(TimeLog[[#This Row],[Rate]]*TimeLog[[#This Row],[Hours]],"")</f>
        <v>550</v>
      </c>
    </row>
    <row r="38" spans="2:12" ht="19.5" customHeight="1" x14ac:dyDescent="0.25">
      <c r="B38" s="27">
        <v>45695</v>
      </c>
      <c r="C38" s="28">
        <v>507</v>
      </c>
      <c r="D38" s="29" t="str">
        <f>IFERROR(VLOOKUP(TimeLog[[#This Row],[Project No]],ProjectsList[],2,FALSE),"")</f>
        <v>TRK Engineering Services, Inc.</v>
      </c>
      <c r="E38" s="29" t="str">
        <f>IFERROR(VLOOKUP(TimeLog[[#This Row],[Project No]],ProjectsList[],3,FALSE),"")</f>
        <v>Suncor Extra Engineering</v>
      </c>
      <c r="F38" s="21" t="s">
        <v>151</v>
      </c>
      <c r="G38" s="30">
        <v>1</v>
      </c>
      <c r="H38" s="41" t="s">
        <v>47</v>
      </c>
      <c r="I38" s="40"/>
      <c r="J38" s="43">
        <v>637</v>
      </c>
      <c r="K38" s="30" cm="1">
        <f t="array" ref="K38">IFERROR(VLOOKUP(TimeLog[[#This Row],[Project No]],ProjectsList[],_xlfn.SWITCH(TimeLog[[#This Row],[Type]],"ST",5,"OT",6,"TT",7,"HD",8),FALSE),"")</f>
        <v>110</v>
      </c>
      <c r="L38" s="107">
        <f>IFERROR(TimeLog[[#This Row],[Rate]]*TimeLog[[#This Row],[Hours]],"")</f>
        <v>110</v>
      </c>
    </row>
    <row r="39" spans="2:12" ht="19.5" customHeight="1" x14ac:dyDescent="0.25">
      <c r="B39" s="27">
        <v>45698</v>
      </c>
      <c r="C39" s="28">
        <v>506</v>
      </c>
      <c r="D39" s="29" t="str">
        <f>IFERROR(VLOOKUP(TimeLog[[#This Row],[Project No]],ProjectsList[],2,FALSE),"")</f>
        <v>TRK Engineering Services, Inc.</v>
      </c>
      <c r="E39" s="29" t="str">
        <f>IFERROR(VLOOKUP(TimeLog[[#This Row],[Project No]],ProjectsList[],3,FALSE),"")</f>
        <v>Suncor Weekly Meetings</v>
      </c>
      <c r="F39" s="21" t="s">
        <v>68</v>
      </c>
      <c r="G39" s="30">
        <v>2</v>
      </c>
      <c r="H39" s="41" t="s">
        <v>47</v>
      </c>
      <c r="I39" s="40"/>
      <c r="J39" s="43">
        <v>636</v>
      </c>
      <c r="K39" s="30" cm="1">
        <f t="array" ref="K39">IFERROR(VLOOKUP(TimeLog[[#This Row],[Project No]],ProjectsList[],_xlfn.SWITCH(TimeLog[[#This Row],[Type]],"ST",5,"OT",6,"TT",7,"HD",8),FALSE),"")</f>
        <v>110</v>
      </c>
      <c r="L39" s="107">
        <f>IFERROR(TimeLog[[#This Row],[Rate]]*TimeLog[[#This Row],[Hours]],"")</f>
        <v>220</v>
      </c>
    </row>
    <row r="40" spans="2:12" ht="19.5" customHeight="1" x14ac:dyDescent="0.25">
      <c r="B40" s="27">
        <v>45699</v>
      </c>
      <c r="C40" s="28">
        <v>506</v>
      </c>
      <c r="D40" s="29" t="str">
        <f>IFERROR(VLOOKUP(TimeLog[[#This Row],[Project No]],ProjectsList[],2,FALSE),"")</f>
        <v>TRK Engineering Services, Inc.</v>
      </c>
      <c r="E40" s="29" t="str">
        <f>IFERROR(VLOOKUP(TimeLog[[#This Row],[Project No]],ProjectsList[],3,FALSE),"")</f>
        <v>Suncor Weekly Meetings</v>
      </c>
      <c r="F40" s="21" t="s">
        <v>68</v>
      </c>
      <c r="G40" s="30">
        <v>2</v>
      </c>
      <c r="H40" s="41" t="s">
        <v>47</v>
      </c>
      <c r="I40" s="40"/>
      <c r="J40" s="43">
        <v>636</v>
      </c>
      <c r="K40" s="30" cm="1">
        <f t="array" ref="K40">IFERROR(VLOOKUP(TimeLog[[#This Row],[Project No]],ProjectsList[],_xlfn.SWITCH(TimeLog[[#This Row],[Type]],"ST",5,"OT",6,"TT",7,"HD",8),FALSE),"")</f>
        <v>110</v>
      </c>
      <c r="L40" s="107">
        <f>IFERROR(TimeLog[[#This Row],[Rate]]*TimeLog[[#This Row],[Hours]],"")</f>
        <v>220</v>
      </c>
    </row>
    <row r="41" spans="2:12" ht="19.5" customHeight="1" x14ac:dyDescent="0.25">
      <c r="B41" s="27">
        <v>45700</v>
      </c>
      <c r="C41" s="28">
        <v>493</v>
      </c>
      <c r="D41" s="29" t="str">
        <f>IFERROR(VLOOKUP(TimeLog[[#This Row],[Project No]],ProjectsList[],2,FALSE),"")</f>
        <v>TRK Engineering Services, Inc.</v>
      </c>
      <c r="E41" s="29" t="str">
        <f>IFERROR(VLOOKUP(TimeLog[[#This Row],[Project No]],ProjectsList[],3,FALSE),"")</f>
        <v>MMSD Outlet Duct</v>
      </c>
      <c r="F41" s="21" t="s">
        <v>68</v>
      </c>
      <c r="G41" s="30">
        <v>2</v>
      </c>
      <c r="H41" s="41" t="s">
        <v>47</v>
      </c>
      <c r="I41" s="40"/>
      <c r="J41" s="43">
        <v>634</v>
      </c>
      <c r="K41" s="30" cm="1">
        <f t="array" ref="K41">IFERROR(VLOOKUP(TimeLog[[#This Row],[Project No]],ProjectsList[],_xlfn.SWITCH(TimeLog[[#This Row],[Type]],"ST",5,"OT",6,"TT",7,"HD",8),FALSE),"")</f>
        <v>110</v>
      </c>
      <c r="L41" s="107">
        <f>IFERROR(TimeLog[[#This Row],[Rate]]*TimeLog[[#This Row],[Hours]],"")</f>
        <v>220</v>
      </c>
    </row>
    <row r="42" spans="2:12" ht="19.5" customHeight="1" x14ac:dyDescent="0.25">
      <c r="B42" s="27">
        <v>45701</v>
      </c>
      <c r="C42" s="28">
        <v>491</v>
      </c>
      <c r="D42" s="29" t="str">
        <f>IFERROR(VLOOKUP(TimeLog[[#This Row],[Project No]],ProjectsList[],2,FALSE),"")</f>
        <v>TRK Engineering Services, Inc.</v>
      </c>
      <c r="E42" s="29" t="str">
        <f>IFERROR(VLOOKUP(TimeLog[[#This Row],[Project No]],ProjectsList[],3,FALSE),"")</f>
        <v>Suncor - Engineering</v>
      </c>
      <c r="F42" s="21" t="s">
        <v>152</v>
      </c>
      <c r="G42" s="30">
        <v>3</v>
      </c>
      <c r="H42" s="41" t="s">
        <v>47</v>
      </c>
      <c r="I42" s="40"/>
      <c r="J42" s="43">
        <v>633</v>
      </c>
      <c r="K42" s="30" cm="1">
        <f t="array" ref="K42">IFERROR(VLOOKUP(TimeLog[[#This Row],[Project No]],ProjectsList[],_xlfn.SWITCH(TimeLog[[#This Row],[Type]],"ST",5,"OT",6,"TT",7,"HD",8),FALSE),"")</f>
        <v>110</v>
      </c>
      <c r="L42" s="107">
        <f>IFERROR(TimeLog[[#This Row],[Rate]]*TimeLog[[#This Row],[Hours]],"")</f>
        <v>330</v>
      </c>
    </row>
    <row r="43" spans="2:12" ht="19.5" customHeight="1" x14ac:dyDescent="0.25">
      <c r="B43" s="27">
        <v>45702</v>
      </c>
      <c r="C43" s="28">
        <v>507</v>
      </c>
      <c r="D43" s="29" t="str">
        <f>IFERROR(VLOOKUP(TimeLog[[#This Row],[Project No]],ProjectsList[],2,FALSE),"")</f>
        <v>TRK Engineering Services, Inc.</v>
      </c>
      <c r="E43" s="29" t="str">
        <f>IFERROR(VLOOKUP(TimeLog[[#This Row],[Project No]],ProjectsList[],3,FALSE),"")</f>
        <v>Suncor Extra Engineering</v>
      </c>
      <c r="F43" s="21" t="s">
        <v>153</v>
      </c>
      <c r="G43" s="30">
        <v>2</v>
      </c>
      <c r="H43" s="41" t="s">
        <v>47</v>
      </c>
      <c r="I43" s="40"/>
      <c r="J43" s="43">
        <v>637</v>
      </c>
      <c r="K43" s="30" cm="1">
        <f t="array" ref="K43">IFERROR(VLOOKUP(TimeLog[[#This Row],[Project No]],ProjectsList[],_xlfn.SWITCH(TimeLog[[#This Row],[Type]],"ST",5,"OT",6,"TT",7,"HD",8),FALSE),"")</f>
        <v>110</v>
      </c>
      <c r="L43" s="107">
        <f>IFERROR(TimeLog[[#This Row],[Rate]]*TimeLog[[#This Row],[Hours]],"")</f>
        <v>220</v>
      </c>
    </row>
    <row r="44" spans="2:12" ht="19.5" customHeight="1" x14ac:dyDescent="0.25">
      <c r="B44" s="27">
        <v>45703</v>
      </c>
      <c r="C44" s="28">
        <v>507</v>
      </c>
      <c r="D44" s="29" t="str">
        <f>IFERROR(VLOOKUP(TimeLog[[#This Row],[Project No]],ProjectsList[],2,FALSE),"")</f>
        <v>TRK Engineering Services, Inc.</v>
      </c>
      <c r="E44" s="29" t="str">
        <f>IFERROR(VLOOKUP(TimeLog[[#This Row],[Project No]],ProjectsList[],3,FALSE),"")</f>
        <v>Suncor Extra Engineering</v>
      </c>
      <c r="F44" s="21" t="s">
        <v>153</v>
      </c>
      <c r="G44" s="30">
        <v>1</v>
      </c>
      <c r="H44" s="41" t="s">
        <v>47</v>
      </c>
      <c r="I44" s="40"/>
      <c r="J44" s="43">
        <v>637</v>
      </c>
      <c r="K44" s="30" cm="1">
        <f t="array" ref="K44">IFERROR(VLOOKUP(TimeLog[[#This Row],[Project No]],ProjectsList[],_xlfn.SWITCH(TimeLog[[#This Row],[Type]],"ST",5,"OT",6,"TT",7,"HD",8),FALSE),"")</f>
        <v>110</v>
      </c>
      <c r="L44" s="107">
        <f>IFERROR(TimeLog[[#This Row],[Rate]]*TimeLog[[#This Row],[Hours]],"")</f>
        <v>110</v>
      </c>
    </row>
    <row r="45" spans="2:12" ht="19.5" customHeight="1" x14ac:dyDescent="0.25">
      <c r="B45" s="27">
        <v>45704</v>
      </c>
      <c r="C45" s="28">
        <v>493</v>
      </c>
      <c r="D45" s="29" t="str">
        <f>IFERROR(VLOOKUP(TimeLog[[#This Row],[Project No]],ProjectsList[],2,FALSE),"")</f>
        <v>TRK Engineering Services, Inc.</v>
      </c>
      <c r="E45" s="29" t="str">
        <f>IFERROR(VLOOKUP(TimeLog[[#This Row],[Project No]],ProjectsList[],3,FALSE),"")</f>
        <v>MMSD Outlet Duct</v>
      </c>
      <c r="F45" s="21" t="s">
        <v>147</v>
      </c>
      <c r="G45" s="30">
        <v>3</v>
      </c>
      <c r="H45" s="41" t="s">
        <v>47</v>
      </c>
      <c r="I45" s="40"/>
      <c r="J45" s="43">
        <v>634</v>
      </c>
      <c r="K45" s="30" cm="1">
        <f t="array" ref="K45">IFERROR(VLOOKUP(TimeLog[[#This Row],[Project No]],ProjectsList[],_xlfn.SWITCH(TimeLog[[#This Row],[Type]],"ST",5,"OT",6,"TT",7,"HD",8),FALSE),"")</f>
        <v>110</v>
      </c>
      <c r="L45" s="107">
        <f>IFERROR(TimeLog[[#This Row],[Rate]]*TimeLog[[#This Row],[Hours]],"")</f>
        <v>330</v>
      </c>
    </row>
    <row r="46" spans="2:12" ht="19.5" customHeight="1" x14ac:dyDescent="0.25">
      <c r="B46" s="27">
        <v>45704</v>
      </c>
      <c r="C46" s="28">
        <v>507</v>
      </c>
      <c r="D46" s="29" t="str">
        <f>IFERROR(VLOOKUP(TimeLog[[#This Row],[Project No]],ProjectsList[],2,FALSE),"")</f>
        <v>TRK Engineering Services, Inc.</v>
      </c>
      <c r="E46" s="29" t="str">
        <f>IFERROR(VLOOKUP(TimeLog[[#This Row],[Project No]],ProjectsList[],3,FALSE),"")</f>
        <v>Suncor Extra Engineering</v>
      </c>
      <c r="F46" s="21" t="s">
        <v>153</v>
      </c>
      <c r="G46" s="30">
        <v>3</v>
      </c>
      <c r="H46" s="41" t="s">
        <v>47</v>
      </c>
      <c r="I46" s="40"/>
      <c r="J46" s="43">
        <v>637</v>
      </c>
      <c r="K46" s="30" cm="1">
        <f t="array" ref="K46">IFERROR(VLOOKUP(TimeLog[[#This Row],[Project No]],ProjectsList[],_xlfn.SWITCH(TimeLog[[#This Row],[Type]],"ST",5,"OT",6,"TT",7,"HD",8),FALSE),"")</f>
        <v>110</v>
      </c>
      <c r="L46" s="107">
        <f>IFERROR(TimeLog[[#This Row],[Rate]]*TimeLog[[#This Row],[Hours]],"")</f>
        <v>330</v>
      </c>
    </row>
    <row r="47" spans="2:12" ht="19.5" customHeight="1" x14ac:dyDescent="0.25">
      <c r="B47" s="27">
        <v>45705</v>
      </c>
      <c r="C47" s="28">
        <v>493</v>
      </c>
      <c r="D47" s="29" t="str">
        <f>IFERROR(VLOOKUP(TimeLog[[#This Row],[Project No]],ProjectsList[],2,FALSE),"")</f>
        <v>TRK Engineering Services, Inc.</v>
      </c>
      <c r="E47" s="29" t="str">
        <f>IFERROR(VLOOKUP(TimeLog[[#This Row],[Project No]],ProjectsList[],3,FALSE),"")</f>
        <v>MMSD Outlet Duct</v>
      </c>
      <c r="F47" s="21" t="s">
        <v>154</v>
      </c>
      <c r="G47" s="30">
        <v>1</v>
      </c>
      <c r="H47" s="41" t="s">
        <v>47</v>
      </c>
      <c r="I47" s="40"/>
      <c r="J47" s="43">
        <v>634</v>
      </c>
      <c r="K47" s="30" cm="1">
        <f t="array" ref="K47">IFERROR(VLOOKUP(TimeLog[[#This Row],[Project No]],ProjectsList[],_xlfn.SWITCH(TimeLog[[#This Row],[Type]],"ST",5,"OT",6,"TT",7,"HD",8),FALSE),"")</f>
        <v>110</v>
      </c>
      <c r="L47" s="107">
        <f>IFERROR(TimeLog[[#This Row],[Rate]]*TimeLog[[#This Row],[Hours]],"")</f>
        <v>110</v>
      </c>
    </row>
    <row r="48" spans="2:12" ht="19.5" customHeight="1" x14ac:dyDescent="0.25">
      <c r="B48" s="27">
        <v>45705</v>
      </c>
      <c r="C48" s="28">
        <v>507</v>
      </c>
      <c r="D48" s="29" t="str">
        <f>IFERROR(VLOOKUP(TimeLog[[#This Row],[Project No]],ProjectsList[],2,FALSE),"")</f>
        <v>TRK Engineering Services, Inc.</v>
      </c>
      <c r="E48" s="29" t="str">
        <f>IFERROR(VLOOKUP(TimeLog[[#This Row],[Project No]],ProjectsList[],3,FALSE),"")</f>
        <v>Suncor Extra Engineering</v>
      </c>
      <c r="F48" s="21" t="s">
        <v>153</v>
      </c>
      <c r="G48" s="30">
        <v>1</v>
      </c>
      <c r="H48" s="41" t="s">
        <v>47</v>
      </c>
      <c r="I48" s="40"/>
      <c r="J48" s="43">
        <v>637</v>
      </c>
      <c r="K48" s="30" cm="1">
        <f t="array" ref="K48">IFERROR(VLOOKUP(TimeLog[[#This Row],[Project No]],ProjectsList[],_xlfn.SWITCH(TimeLog[[#This Row],[Type]],"ST",5,"OT",6,"TT",7,"HD",8),FALSE),"")</f>
        <v>110</v>
      </c>
      <c r="L48" s="107">
        <f>IFERROR(TimeLog[[#This Row],[Rate]]*TimeLog[[#This Row],[Hours]],"")</f>
        <v>110</v>
      </c>
    </row>
    <row r="49" spans="2:12" ht="19.5" customHeight="1" x14ac:dyDescent="0.25">
      <c r="B49" s="27">
        <v>45706</v>
      </c>
      <c r="C49" s="28">
        <v>506</v>
      </c>
      <c r="D49" s="29" t="str">
        <f>IFERROR(VLOOKUP(TimeLog[[#This Row],[Project No]],ProjectsList[],2,FALSE),"")</f>
        <v>TRK Engineering Services, Inc.</v>
      </c>
      <c r="E49" s="29" t="str">
        <f>IFERROR(VLOOKUP(TimeLog[[#This Row],[Project No]],ProjectsList[],3,FALSE),"")</f>
        <v>Suncor Weekly Meetings</v>
      </c>
      <c r="F49" s="21" t="s">
        <v>68</v>
      </c>
      <c r="G49" s="30">
        <v>2</v>
      </c>
      <c r="H49" s="41" t="s">
        <v>47</v>
      </c>
      <c r="I49" s="40"/>
      <c r="J49" s="43">
        <v>636</v>
      </c>
      <c r="K49" s="30" cm="1">
        <f t="array" ref="K49">IFERROR(VLOOKUP(TimeLog[[#This Row],[Project No]],ProjectsList[],_xlfn.SWITCH(TimeLog[[#This Row],[Type]],"ST",5,"OT",6,"TT",7,"HD",8),FALSE),"")</f>
        <v>110</v>
      </c>
      <c r="L49" s="107">
        <f>IFERROR(TimeLog[[#This Row],[Rate]]*TimeLog[[#This Row],[Hours]],"")</f>
        <v>220</v>
      </c>
    </row>
    <row r="50" spans="2:12" ht="19.5" customHeight="1" x14ac:dyDescent="0.25">
      <c r="B50" s="27">
        <v>45706</v>
      </c>
      <c r="C50" s="28">
        <v>507</v>
      </c>
      <c r="D50" s="29" t="str">
        <f>IFERROR(VLOOKUP(TimeLog[[#This Row],[Project No]],ProjectsList[],2,FALSE),"")</f>
        <v>TRK Engineering Services, Inc.</v>
      </c>
      <c r="E50" s="29" t="str">
        <f>IFERROR(VLOOKUP(TimeLog[[#This Row],[Project No]],ProjectsList[],3,FALSE),"")</f>
        <v>Suncor Extra Engineering</v>
      </c>
      <c r="F50" s="21" t="s">
        <v>156</v>
      </c>
      <c r="G50" s="30">
        <v>2</v>
      </c>
      <c r="H50" s="41" t="s">
        <v>47</v>
      </c>
      <c r="I50" s="40"/>
      <c r="J50" s="43">
        <v>637</v>
      </c>
      <c r="K50" s="30" cm="1">
        <f t="array" ref="K50">IFERROR(VLOOKUP(TimeLog[[#This Row],[Project No]],ProjectsList[],_xlfn.SWITCH(TimeLog[[#This Row],[Type]],"ST",5,"OT",6,"TT",7,"HD",8),FALSE),"")</f>
        <v>110</v>
      </c>
      <c r="L50" s="107">
        <f>IFERROR(TimeLog[[#This Row],[Rate]]*TimeLog[[#This Row],[Hours]],"")</f>
        <v>220</v>
      </c>
    </row>
    <row r="51" spans="2:12" ht="19.5" customHeight="1" x14ac:dyDescent="0.25">
      <c r="B51" s="27">
        <v>45707</v>
      </c>
      <c r="C51" s="28">
        <v>507</v>
      </c>
      <c r="D51" s="29" t="str">
        <f>IFERROR(VLOOKUP(TimeLog[[#This Row],[Project No]],ProjectsList[],2,FALSE),"")</f>
        <v>TRK Engineering Services, Inc.</v>
      </c>
      <c r="E51" s="29" t="str">
        <f>IFERROR(VLOOKUP(TimeLog[[#This Row],[Project No]],ProjectsList[],3,FALSE),"")</f>
        <v>Suncor Extra Engineering</v>
      </c>
      <c r="F51" s="21" t="s">
        <v>157</v>
      </c>
      <c r="G51" s="30">
        <v>3</v>
      </c>
      <c r="H51" s="41" t="s">
        <v>47</v>
      </c>
      <c r="I51" s="40"/>
      <c r="J51" s="43">
        <v>637</v>
      </c>
      <c r="K51" s="30" cm="1">
        <f t="array" ref="K51">IFERROR(VLOOKUP(TimeLog[[#This Row],[Project No]],ProjectsList[],_xlfn.SWITCH(TimeLog[[#This Row],[Type]],"ST",5,"OT",6,"TT",7,"HD",8),FALSE),"")</f>
        <v>110</v>
      </c>
      <c r="L51" s="107">
        <f>IFERROR(TimeLog[[#This Row],[Rate]]*TimeLog[[#This Row],[Hours]],"")</f>
        <v>330</v>
      </c>
    </row>
    <row r="52" spans="2:12" ht="19.5" customHeight="1" x14ac:dyDescent="0.25">
      <c r="B52" s="27">
        <v>45708</v>
      </c>
      <c r="C52" s="28">
        <v>507</v>
      </c>
      <c r="D52" s="29" t="str">
        <f>IFERROR(VLOOKUP(TimeLog[[#This Row],[Project No]],ProjectsList[],2,FALSE),"")</f>
        <v>TRK Engineering Services, Inc.</v>
      </c>
      <c r="E52" s="29" t="str">
        <f>IFERROR(VLOOKUP(TimeLog[[#This Row],[Project No]],ProjectsList[],3,FALSE),"")</f>
        <v>Suncor Extra Engineering</v>
      </c>
      <c r="F52" s="21" t="s">
        <v>155</v>
      </c>
      <c r="G52" s="30">
        <v>3</v>
      </c>
      <c r="H52" s="41" t="s">
        <v>47</v>
      </c>
      <c r="I52" s="40"/>
      <c r="J52" s="43">
        <v>637</v>
      </c>
      <c r="K52" s="30" cm="1">
        <f t="array" ref="K52">IFERROR(VLOOKUP(TimeLog[[#This Row],[Project No]],ProjectsList[],_xlfn.SWITCH(TimeLog[[#This Row],[Type]],"ST",5,"OT",6,"TT",7,"HD",8),FALSE),"")</f>
        <v>110</v>
      </c>
      <c r="L52" s="107">
        <f>IFERROR(TimeLog[[#This Row],[Rate]]*TimeLog[[#This Row],[Hours]],"")</f>
        <v>330</v>
      </c>
    </row>
    <row r="53" spans="2:12" ht="19.5" customHeight="1" x14ac:dyDescent="0.25">
      <c r="B53" s="27">
        <v>45709</v>
      </c>
      <c r="C53" s="28">
        <v>507</v>
      </c>
      <c r="D53" s="29" t="str">
        <f>IFERROR(VLOOKUP(TimeLog[[#This Row],[Project No]],ProjectsList[],2,FALSE),"")</f>
        <v>TRK Engineering Services, Inc.</v>
      </c>
      <c r="E53" s="29" t="str">
        <f>IFERROR(VLOOKUP(TimeLog[[#This Row],[Project No]],ProjectsList[],3,FALSE),"")</f>
        <v>Suncor Extra Engineering</v>
      </c>
      <c r="F53" s="21" t="s">
        <v>160</v>
      </c>
      <c r="G53" s="30">
        <v>2</v>
      </c>
      <c r="H53" s="41" t="s">
        <v>47</v>
      </c>
      <c r="I53" s="40"/>
      <c r="J53" s="43">
        <v>637</v>
      </c>
      <c r="K53" s="30" cm="1">
        <f t="array" ref="K53">IFERROR(VLOOKUP(TimeLog[[#This Row],[Project No]],ProjectsList[],_xlfn.SWITCH(TimeLog[[#This Row],[Type]],"ST",5,"OT",6,"TT",7,"HD",8),FALSE),"")</f>
        <v>110</v>
      </c>
      <c r="L53" s="107">
        <f>IFERROR(TimeLog[[#This Row],[Rate]]*TimeLog[[#This Row],[Hours]],"")</f>
        <v>220</v>
      </c>
    </row>
    <row r="54" spans="2:12" ht="19.5" customHeight="1" x14ac:dyDescent="0.25">
      <c r="B54" s="27">
        <v>45713</v>
      </c>
      <c r="C54" s="28">
        <v>506</v>
      </c>
      <c r="D54" s="29" t="str">
        <f>IFERROR(VLOOKUP(TimeLog[[#This Row],[Project No]],ProjectsList[],2,FALSE),"")</f>
        <v>TRK Engineering Services, Inc.</v>
      </c>
      <c r="E54" s="29" t="str">
        <f>IFERROR(VLOOKUP(TimeLog[[#This Row],[Project No]],ProjectsList[],3,FALSE),"")</f>
        <v>Suncor Weekly Meetings</v>
      </c>
      <c r="F54" s="21" t="s">
        <v>178</v>
      </c>
      <c r="G54" s="30">
        <v>2</v>
      </c>
      <c r="H54" s="41" t="s">
        <v>47</v>
      </c>
      <c r="I54" s="40"/>
      <c r="J54" s="43">
        <v>636</v>
      </c>
      <c r="K54" s="30" cm="1">
        <f t="array" ref="K54">IFERROR(VLOOKUP(TimeLog[[#This Row],[Project No]],ProjectsList[],_xlfn.SWITCH(TimeLog[[#This Row],[Type]],"ST",5,"OT",6,"TT",7,"HD",8),FALSE),"")</f>
        <v>110</v>
      </c>
      <c r="L54" s="107">
        <f>IFERROR(TimeLog[[#This Row],[Rate]]*TimeLog[[#This Row],[Hours]],"")</f>
        <v>220</v>
      </c>
    </row>
    <row r="55" spans="2:12" ht="19.5" customHeight="1" x14ac:dyDescent="0.25">
      <c r="B55" s="27">
        <v>45714</v>
      </c>
      <c r="C55" s="28">
        <v>505</v>
      </c>
      <c r="D55" s="29" t="str">
        <f>IFERROR(VLOOKUP(TimeLog[[#This Row],[Project No]],ProjectsList[],2,FALSE),"")</f>
        <v>TRK Engineering Services, Inc.</v>
      </c>
      <c r="E55" s="29" t="str">
        <f>IFERROR(VLOOKUP(TimeLog[[#This Row],[Project No]],ProjectsList[],3,FALSE),"")</f>
        <v>Holcim - Ada - Inspection</v>
      </c>
      <c r="F55" s="21" t="s">
        <v>201</v>
      </c>
      <c r="G55" s="30">
        <v>8</v>
      </c>
      <c r="H55" s="41" t="s">
        <v>47</v>
      </c>
      <c r="I55" s="40"/>
      <c r="J55" s="43">
        <v>632</v>
      </c>
      <c r="K55" s="30" cm="1">
        <f t="array" ref="K55">IFERROR(VLOOKUP(TimeLog[[#This Row],[Project No]],ProjectsList[],_xlfn.SWITCH(TimeLog[[#This Row],[Type]],"ST",5,"OT",6,"TT",7,"HD",8),FALSE),"")</f>
        <v>110</v>
      </c>
      <c r="L55" s="107">
        <f>IFERROR(TimeLog[[#This Row],[Rate]]*TimeLog[[#This Row],[Hours]],"")</f>
        <v>880</v>
      </c>
    </row>
    <row r="56" spans="2:12" ht="19.5" customHeight="1" x14ac:dyDescent="0.25">
      <c r="B56" s="27">
        <v>45715</v>
      </c>
      <c r="C56" s="28">
        <v>507</v>
      </c>
      <c r="D56" s="29" t="str">
        <f>IFERROR(VLOOKUP(TimeLog[[#This Row],[Project No]],ProjectsList[],2,FALSE),"")</f>
        <v>TRK Engineering Services, Inc.</v>
      </c>
      <c r="E56" s="29" t="str">
        <f>IFERROR(VLOOKUP(TimeLog[[#This Row],[Project No]],ProjectsList[],3,FALSE),"")</f>
        <v>Suncor Extra Engineering</v>
      </c>
      <c r="F56" s="21" t="s">
        <v>203</v>
      </c>
      <c r="G56" s="30">
        <v>3</v>
      </c>
      <c r="H56" s="41" t="s">
        <v>47</v>
      </c>
      <c r="I56" s="40"/>
      <c r="J56" s="43">
        <v>637</v>
      </c>
      <c r="K56" s="30" cm="1">
        <f t="array" ref="K56">IFERROR(VLOOKUP(TimeLog[[#This Row],[Project No]],ProjectsList[],_xlfn.SWITCH(TimeLog[[#This Row],[Type]],"ST",5,"OT",6,"TT",7,"HD",8),FALSE),"")</f>
        <v>110</v>
      </c>
      <c r="L56" s="107">
        <f>IFERROR(TimeLog[[#This Row],[Rate]]*TimeLog[[#This Row],[Hours]],"")</f>
        <v>330</v>
      </c>
    </row>
    <row r="57" spans="2:12" ht="19.5" customHeight="1" x14ac:dyDescent="0.25">
      <c r="B57" s="27">
        <v>45720</v>
      </c>
      <c r="C57" s="28">
        <v>506</v>
      </c>
      <c r="D57" s="29" t="str">
        <f>IFERROR(VLOOKUP(TimeLog[[#This Row],[Project No]],ProjectsList[],2,FALSE),"")</f>
        <v>TRK Engineering Services, Inc.</v>
      </c>
      <c r="E57" s="29" t="str">
        <f>IFERROR(VLOOKUP(TimeLog[[#This Row],[Project No]],ProjectsList[],3,FALSE),"")</f>
        <v>Suncor Weekly Meetings</v>
      </c>
      <c r="F57" s="21" t="s">
        <v>68</v>
      </c>
      <c r="G57" s="30">
        <v>1</v>
      </c>
      <c r="H57" s="41" t="s">
        <v>47</v>
      </c>
      <c r="I57" s="40"/>
      <c r="J57" s="43">
        <v>636</v>
      </c>
      <c r="K57" s="30" cm="1">
        <f t="array" ref="K57">IFERROR(VLOOKUP(TimeLog[[#This Row],[Project No]],ProjectsList[],_xlfn.SWITCH(TimeLog[[#This Row],[Type]],"ST",5,"OT",6,"TT",7,"HD",8),FALSE),"")</f>
        <v>110</v>
      </c>
      <c r="L57" s="107">
        <f>IFERROR(TimeLog[[#This Row],[Rate]]*TimeLog[[#This Row],[Hours]],"")</f>
        <v>110</v>
      </c>
    </row>
    <row r="58" spans="2:12" ht="19.5" customHeight="1" x14ac:dyDescent="0.25">
      <c r="B58" s="27">
        <v>45720</v>
      </c>
      <c r="C58" s="28">
        <v>507</v>
      </c>
      <c r="D58" s="29" t="str">
        <f>IFERROR(VLOOKUP(TimeLog[[#This Row],[Project No]],ProjectsList[],2,FALSE),"")</f>
        <v>TRK Engineering Services, Inc.</v>
      </c>
      <c r="E58" s="29" t="str">
        <f>IFERROR(VLOOKUP(TimeLog[[#This Row],[Project No]],ProjectsList[],3,FALSE),"")</f>
        <v>Suncor Extra Engineering</v>
      </c>
      <c r="F58" s="21" t="s">
        <v>205</v>
      </c>
      <c r="G58" s="30">
        <v>2</v>
      </c>
      <c r="H58" s="41" t="s">
        <v>47</v>
      </c>
      <c r="I58" s="40"/>
      <c r="J58" s="43">
        <v>637</v>
      </c>
      <c r="K58" s="30" cm="1">
        <f t="array" ref="K58">IFERROR(VLOOKUP(TimeLog[[#This Row],[Project No]],ProjectsList[],_xlfn.SWITCH(TimeLog[[#This Row],[Type]],"ST",5,"OT",6,"TT",7,"HD",8),FALSE),"")</f>
        <v>110</v>
      </c>
      <c r="L58" s="107">
        <f>IFERROR(TimeLog[[#This Row],[Rate]]*TimeLog[[#This Row],[Hours]],"")</f>
        <v>220</v>
      </c>
    </row>
    <row r="59" spans="2:12" ht="19.5" customHeight="1" x14ac:dyDescent="0.25">
      <c r="B59" s="27">
        <v>45720</v>
      </c>
      <c r="C59" s="28">
        <v>509</v>
      </c>
      <c r="D59" s="29" t="str">
        <f>IFERROR(VLOOKUP(TimeLog[[#This Row],[Project No]],ProjectsList[],2,FALSE),"")</f>
        <v>TRK Engineering Services, Inc.</v>
      </c>
      <c r="E59" s="29" t="str">
        <f>IFERROR(VLOOKUP(TimeLog[[#This Row],[Project No]],ProjectsList[],3,FALSE),"")</f>
        <v>Westrock Power Plus Specifications</v>
      </c>
      <c r="F59" s="21" t="s">
        <v>206</v>
      </c>
      <c r="G59" s="30">
        <v>3</v>
      </c>
      <c r="H59" s="41" t="s">
        <v>47</v>
      </c>
      <c r="I59" s="40"/>
      <c r="J59" s="43">
        <v>638</v>
      </c>
      <c r="K59" s="30" cm="1">
        <f t="array" ref="K59">IFERROR(VLOOKUP(TimeLog[[#This Row],[Project No]],ProjectsList[],_xlfn.SWITCH(TimeLog[[#This Row],[Type]],"ST",5,"OT",6,"TT",7,"HD",8),FALSE),"")</f>
        <v>110</v>
      </c>
      <c r="L59" s="107">
        <f>IFERROR(TimeLog[[#This Row],[Rate]]*TimeLog[[#This Row],[Hours]],"")</f>
        <v>330</v>
      </c>
    </row>
    <row r="60" spans="2:12" ht="19.5" customHeight="1" x14ac:dyDescent="0.25">
      <c r="B60" s="27">
        <v>45721</v>
      </c>
      <c r="C60" s="28">
        <v>509</v>
      </c>
      <c r="D60" s="29" t="str">
        <f>IFERROR(VLOOKUP(TimeLog[[#This Row],[Project No]],ProjectsList[],2,FALSE),"")</f>
        <v>TRK Engineering Services, Inc.</v>
      </c>
      <c r="E60" s="29" t="str">
        <f>IFERROR(VLOOKUP(TimeLog[[#This Row],[Project No]],ProjectsList[],3,FALSE),"")</f>
        <v>Westrock Power Plus Specifications</v>
      </c>
      <c r="F60" s="21" t="s">
        <v>206</v>
      </c>
      <c r="G60" s="30">
        <v>4</v>
      </c>
      <c r="H60" s="41" t="s">
        <v>47</v>
      </c>
      <c r="I60" s="40"/>
      <c r="J60" s="43">
        <v>638</v>
      </c>
      <c r="K60" s="30" cm="1">
        <f t="array" ref="K60">IFERROR(VLOOKUP(TimeLog[[#This Row],[Project No]],ProjectsList[],_xlfn.SWITCH(TimeLog[[#This Row],[Type]],"ST",5,"OT",6,"TT",7,"HD",8),FALSE),"")</f>
        <v>110</v>
      </c>
      <c r="L60" s="107">
        <f>IFERROR(TimeLog[[#This Row],[Rate]]*TimeLog[[#This Row],[Hours]],"")</f>
        <v>440</v>
      </c>
    </row>
    <row r="61" spans="2:12" ht="19.5" customHeight="1" x14ac:dyDescent="0.25">
      <c r="B61" s="27">
        <v>45722</v>
      </c>
      <c r="C61" s="28">
        <v>509</v>
      </c>
      <c r="D61" s="29" t="str">
        <f>IFERROR(VLOOKUP(TimeLog[[#This Row],[Project No]],ProjectsList[],2,FALSE),"")</f>
        <v>TRK Engineering Services, Inc.</v>
      </c>
      <c r="E61" s="29" t="str">
        <f>IFERROR(VLOOKUP(TimeLog[[#This Row],[Project No]],ProjectsList[],3,FALSE),"")</f>
        <v>Westrock Power Plus Specifications</v>
      </c>
      <c r="F61" s="21" t="s">
        <v>206</v>
      </c>
      <c r="G61" s="30">
        <v>3</v>
      </c>
      <c r="H61" s="41" t="s">
        <v>47</v>
      </c>
      <c r="I61" s="40"/>
      <c r="J61" s="43">
        <v>638</v>
      </c>
      <c r="K61" s="30" cm="1">
        <f t="array" ref="K61">IFERROR(VLOOKUP(TimeLog[[#This Row],[Project No]],ProjectsList[],_xlfn.SWITCH(TimeLog[[#This Row],[Type]],"ST",5,"OT",6,"TT",7,"HD",8),FALSE),"")</f>
        <v>110</v>
      </c>
      <c r="L61" s="107">
        <f>IFERROR(TimeLog[[#This Row],[Rate]]*TimeLog[[#This Row],[Hours]],"")</f>
        <v>330</v>
      </c>
    </row>
    <row r="62" spans="2:12" ht="19.5" customHeight="1" x14ac:dyDescent="0.25">
      <c r="B62" s="27">
        <v>45726</v>
      </c>
      <c r="C62" s="28">
        <v>506</v>
      </c>
      <c r="D62" s="29" t="str">
        <f>IFERROR(VLOOKUP(TimeLog[[#This Row],[Project No]],ProjectsList[],2,FALSE),"")</f>
        <v>TRK Engineering Services, Inc.</v>
      </c>
      <c r="E62" s="29" t="str">
        <f>IFERROR(VLOOKUP(TimeLog[[#This Row],[Project No]],ProjectsList[],3,FALSE),"")</f>
        <v>Suncor Weekly Meetings</v>
      </c>
      <c r="F62" s="21" t="s">
        <v>68</v>
      </c>
      <c r="G62" s="30">
        <v>3</v>
      </c>
      <c r="H62" s="41" t="s">
        <v>47</v>
      </c>
      <c r="I62" s="40"/>
      <c r="J62" s="43">
        <v>636</v>
      </c>
      <c r="K62" s="30" cm="1">
        <f t="array" ref="K62">IFERROR(VLOOKUP(TimeLog[[#This Row],[Project No]],ProjectsList[],_xlfn.SWITCH(TimeLog[[#This Row],[Type]],"ST",5,"OT",6,"TT",7,"HD",8),FALSE),"")</f>
        <v>110</v>
      </c>
      <c r="L62" s="107">
        <f>IFERROR(TimeLog[[#This Row],[Rate]]*TimeLog[[#This Row],[Hours]],"")</f>
        <v>330</v>
      </c>
    </row>
    <row r="63" spans="2:12" ht="19.5" customHeight="1" x14ac:dyDescent="0.25">
      <c r="B63" s="27">
        <v>45726</v>
      </c>
      <c r="C63" s="28">
        <v>509</v>
      </c>
      <c r="D63" s="29" t="str">
        <f>IFERROR(VLOOKUP(TimeLog[[#This Row],[Project No]],ProjectsList[],2,FALSE),"")</f>
        <v>TRK Engineering Services, Inc.</v>
      </c>
      <c r="E63" s="29" t="str">
        <f>IFERROR(VLOOKUP(TimeLog[[#This Row],[Project No]],ProjectsList[],3,FALSE),"")</f>
        <v>Westrock Power Plus Specifications</v>
      </c>
      <c r="F63" s="21" t="s">
        <v>206</v>
      </c>
      <c r="G63" s="30">
        <v>2</v>
      </c>
      <c r="H63" s="41" t="s">
        <v>47</v>
      </c>
      <c r="I63" s="40"/>
      <c r="J63" s="43">
        <v>638</v>
      </c>
      <c r="K63" s="30" cm="1">
        <f t="array" ref="K63">IFERROR(VLOOKUP(TimeLog[[#This Row],[Project No]],ProjectsList[],_xlfn.SWITCH(TimeLog[[#This Row],[Type]],"ST",5,"OT",6,"TT",7,"HD",8),FALSE),"")</f>
        <v>110</v>
      </c>
      <c r="L63" s="107">
        <f>IFERROR(TimeLog[[#This Row],[Rate]]*TimeLog[[#This Row],[Hours]],"")</f>
        <v>220</v>
      </c>
    </row>
    <row r="64" spans="2:12" ht="19.5" customHeight="1" x14ac:dyDescent="0.25">
      <c r="B64" s="27">
        <v>45727</v>
      </c>
      <c r="C64" s="28">
        <v>506</v>
      </c>
      <c r="D64" s="29" t="str">
        <f>IFERROR(VLOOKUP(TimeLog[[#This Row],[Project No]],ProjectsList[],2,FALSE),"")</f>
        <v>TRK Engineering Services, Inc.</v>
      </c>
      <c r="E64" s="29" t="str">
        <f>IFERROR(VLOOKUP(TimeLog[[#This Row],[Project No]],ProjectsList[],3,FALSE),"")</f>
        <v>Suncor Weekly Meetings</v>
      </c>
      <c r="F64" s="21" t="s">
        <v>68</v>
      </c>
      <c r="G64" s="30">
        <v>2</v>
      </c>
      <c r="H64" s="41" t="s">
        <v>47</v>
      </c>
      <c r="I64" s="40"/>
      <c r="J64" s="43">
        <v>636</v>
      </c>
      <c r="K64" s="30" cm="1">
        <f t="array" ref="K64">IFERROR(VLOOKUP(TimeLog[[#This Row],[Project No]],ProjectsList[],_xlfn.SWITCH(TimeLog[[#This Row],[Type]],"ST",5,"OT",6,"TT",7,"HD",8),FALSE),"")</f>
        <v>110</v>
      </c>
      <c r="L64" s="107">
        <f>IFERROR(TimeLog[[#This Row],[Rate]]*TimeLog[[#This Row],[Hours]],"")</f>
        <v>220</v>
      </c>
    </row>
    <row r="65" spans="2:12" ht="19.5" customHeight="1" x14ac:dyDescent="0.25">
      <c r="B65" s="27">
        <v>45727</v>
      </c>
      <c r="C65" s="28">
        <v>509</v>
      </c>
      <c r="D65" s="29" t="str">
        <f>IFERROR(VLOOKUP(TimeLog[[#This Row],[Project No]],ProjectsList[],2,FALSE),"")</f>
        <v>TRK Engineering Services, Inc.</v>
      </c>
      <c r="E65" s="29" t="str">
        <f>IFERROR(VLOOKUP(TimeLog[[#This Row],[Project No]],ProjectsList[],3,FALSE),"")</f>
        <v>Westrock Power Plus Specifications</v>
      </c>
      <c r="F65" s="21" t="s">
        <v>206</v>
      </c>
      <c r="G65" s="30">
        <v>5</v>
      </c>
      <c r="H65" s="41" t="s">
        <v>47</v>
      </c>
      <c r="I65" s="40"/>
      <c r="J65" s="43">
        <v>638</v>
      </c>
      <c r="K65" s="30" cm="1">
        <f t="array" ref="K65">IFERROR(VLOOKUP(TimeLog[[#This Row],[Project No]],ProjectsList[],_xlfn.SWITCH(TimeLog[[#This Row],[Type]],"ST",5,"OT",6,"TT",7,"HD",8),FALSE),"")</f>
        <v>110</v>
      </c>
      <c r="L65" s="107">
        <f>IFERROR(TimeLog[[#This Row],[Rate]]*TimeLog[[#This Row],[Hours]],"")</f>
        <v>550</v>
      </c>
    </row>
    <row r="66" spans="2:12" ht="19.5" customHeight="1" x14ac:dyDescent="0.25">
      <c r="B66" s="27">
        <v>45729</v>
      </c>
      <c r="C66" s="28">
        <v>507</v>
      </c>
      <c r="D66" s="29" t="str">
        <f>IFERROR(VLOOKUP(TimeLog[[#This Row],[Project No]],ProjectsList[],2,FALSE),"")</f>
        <v>TRK Engineering Services, Inc.</v>
      </c>
      <c r="E66" s="29" t="str">
        <f>IFERROR(VLOOKUP(TimeLog[[#This Row],[Project No]],ProjectsList[],3,FALSE),"")</f>
        <v>Suncor Extra Engineering</v>
      </c>
      <c r="F66" s="21" t="s">
        <v>221</v>
      </c>
      <c r="G66" s="30">
        <v>2</v>
      </c>
      <c r="H66" s="41" t="s">
        <v>47</v>
      </c>
      <c r="I66" s="40"/>
      <c r="J66" s="43">
        <v>644</v>
      </c>
      <c r="K66" s="30" cm="1">
        <f t="array" ref="K66">IFERROR(VLOOKUP(TimeLog[[#This Row],[Project No]],ProjectsList[],_xlfn.SWITCH(TimeLog[[#This Row],[Type]],"ST",5,"OT",6,"TT",7,"HD",8),FALSE),"")</f>
        <v>110</v>
      </c>
      <c r="L66" s="107">
        <f>IFERROR(TimeLog[[#This Row],[Rate]]*TimeLog[[#This Row],[Hours]],"")</f>
        <v>220</v>
      </c>
    </row>
    <row r="67" spans="2:12" ht="19.5" customHeight="1" x14ac:dyDescent="0.25">
      <c r="B67" s="27">
        <v>45733</v>
      </c>
      <c r="C67" s="28">
        <v>506</v>
      </c>
      <c r="D67" s="29" t="str">
        <f>IFERROR(VLOOKUP(TimeLog[[#This Row],[Project No]],ProjectsList[],2,FALSE),"")</f>
        <v>TRK Engineering Services, Inc.</v>
      </c>
      <c r="E67" s="29" t="str">
        <f>IFERROR(VLOOKUP(TimeLog[[#This Row],[Project No]],ProjectsList[],3,FALSE),"")</f>
        <v>Suncor Weekly Meetings</v>
      </c>
      <c r="F67" s="21" t="s">
        <v>68</v>
      </c>
      <c r="G67" s="30">
        <v>1</v>
      </c>
      <c r="H67" s="41" t="s">
        <v>47</v>
      </c>
      <c r="I67" s="40"/>
      <c r="J67" s="43">
        <v>643</v>
      </c>
      <c r="K67" s="30" cm="1">
        <f t="array" ref="K67">IFERROR(VLOOKUP(TimeLog[[#This Row],[Project No]],ProjectsList[],_xlfn.SWITCH(TimeLog[[#This Row],[Type]],"ST",5,"OT",6,"TT",7,"HD",8),FALSE),"")</f>
        <v>110</v>
      </c>
      <c r="L67" s="107">
        <f>IFERROR(TimeLog[[#This Row],[Rate]]*TimeLog[[#This Row],[Hours]],"")</f>
        <v>110</v>
      </c>
    </row>
    <row r="68" spans="2:12" ht="19.5" customHeight="1" x14ac:dyDescent="0.25">
      <c r="B68" s="27">
        <v>45734</v>
      </c>
      <c r="C68" s="28">
        <v>506</v>
      </c>
      <c r="D68" s="29" t="str">
        <f>IFERROR(VLOOKUP(TimeLog[[#This Row],[Project No]],ProjectsList[],2,FALSE),"")</f>
        <v>TRK Engineering Services, Inc.</v>
      </c>
      <c r="E68" s="29" t="str">
        <f>IFERROR(VLOOKUP(TimeLog[[#This Row],[Project No]],ProjectsList[],3,FALSE),"")</f>
        <v>Suncor Weekly Meetings</v>
      </c>
      <c r="F68" s="21" t="s">
        <v>68</v>
      </c>
      <c r="G68" s="30">
        <v>2</v>
      </c>
      <c r="H68" s="41" t="s">
        <v>47</v>
      </c>
      <c r="I68" s="40"/>
      <c r="J68" s="43">
        <v>643</v>
      </c>
      <c r="K68" s="30" cm="1">
        <f t="array" ref="K68">IFERROR(VLOOKUP(TimeLog[[#This Row],[Project No]],ProjectsList[],_xlfn.SWITCH(TimeLog[[#This Row],[Type]],"ST",5,"OT",6,"TT",7,"HD",8),FALSE),"")</f>
        <v>110</v>
      </c>
      <c r="L68" s="107">
        <f>IFERROR(TimeLog[[#This Row],[Rate]]*TimeLog[[#This Row],[Hours]],"")</f>
        <v>220</v>
      </c>
    </row>
    <row r="69" spans="2:12" ht="19.5" customHeight="1" x14ac:dyDescent="0.25">
      <c r="B69" s="27">
        <v>45736</v>
      </c>
      <c r="C69" s="28">
        <v>496</v>
      </c>
      <c r="D69" s="29" t="str">
        <f>IFERROR(VLOOKUP(TimeLog[[#This Row],[Project No]],ProjectsList[],2,FALSE),"")</f>
        <v>TRK Engineering Services, Inc.</v>
      </c>
      <c r="E69" s="29" t="str">
        <f>IFERROR(VLOOKUP(TimeLog[[#This Row],[Project No]],ProjectsList[],3,FALSE),"")</f>
        <v>Infinite Cooling WESP</v>
      </c>
      <c r="F69" s="21" t="s">
        <v>68</v>
      </c>
      <c r="G69" s="30">
        <v>2</v>
      </c>
      <c r="H69" s="41" t="s">
        <v>47</v>
      </c>
      <c r="I69" s="40"/>
      <c r="J69" s="43">
        <v>647</v>
      </c>
      <c r="K69" s="30" cm="1">
        <f t="array" ref="K69">IFERROR(VLOOKUP(TimeLog[[#This Row],[Project No]],ProjectsList[],_xlfn.SWITCH(TimeLog[[#This Row],[Type]],"ST",5,"OT",6,"TT",7,"HD",8),FALSE),"")</f>
        <v>110</v>
      </c>
      <c r="L69" s="107">
        <f>IFERROR(TimeLog[[#This Row],[Rate]]*TimeLog[[#This Row],[Hours]],"")</f>
        <v>220</v>
      </c>
    </row>
    <row r="70" spans="2:12" ht="19.5" customHeight="1" x14ac:dyDescent="0.25">
      <c r="B70" s="27">
        <v>45736</v>
      </c>
      <c r="C70" s="28">
        <v>507</v>
      </c>
      <c r="D70" s="29" t="str">
        <f>IFERROR(VLOOKUP(TimeLog[[#This Row],[Project No]],ProjectsList[],2,FALSE),"")</f>
        <v>TRK Engineering Services, Inc.</v>
      </c>
      <c r="E70" s="29" t="str">
        <f>IFERROR(VLOOKUP(TimeLog[[#This Row],[Project No]],ProjectsList[],3,FALSE),"")</f>
        <v>Suncor Extra Engineering</v>
      </c>
      <c r="F70" s="21" t="s">
        <v>222</v>
      </c>
      <c r="G70" s="30">
        <v>1</v>
      </c>
      <c r="H70" s="41" t="s">
        <v>47</v>
      </c>
      <c r="I70" s="40"/>
      <c r="J70" s="43">
        <v>644</v>
      </c>
      <c r="K70" s="30" cm="1">
        <f t="array" ref="K70">IFERROR(VLOOKUP(TimeLog[[#This Row],[Project No]],ProjectsList[],_xlfn.SWITCH(TimeLog[[#This Row],[Type]],"ST",5,"OT",6,"TT",7,"HD",8),FALSE),"")</f>
        <v>110</v>
      </c>
      <c r="L70" s="107">
        <f>IFERROR(TimeLog[[#This Row],[Rate]]*TimeLog[[#This Row],[Hours]],"")</f>
        <v>110</v>
      </c>
    </row>
    <row r="71" spans="2:12" ht="19.5" customHeight="1" x14ac:dyDescent="0.25">
      <c r="B71" s="27">
        <v>45740</v>
      </c>
      <c r="C71" s="28">
        <v>506</v>
      </c>
      <c r="D71" s="29" t="str">
        <f>IFERROR(VLOOKUP(TimeLog[[#This Row],[Project No]],ProjectsList[],2,FALSE),"")</f>
        <v>TRK Engineering Services, Inc.</v>
      </c>
      <c r="E71" s="29" t="str">
        <f>IFERROR(VLOOKUP(TimeLog[[#This Row],[Project No]],ProjectsList[],3,FALSE),"")</f>
        <v>Suncor Weekly Meetings</v>
      </c>
      <c r="F71" s="21" t="s">
        <v>68</v>
      </c>
      <c r="G71" s="30">
        <v>2</v>
      </c>
      <c r="H71" s="41" t="s">
        <v>47</v>
      </c>
      <c r="I71" s="40"/>
      <c r="J71" s="43">
        <v>643</v>
      </c>
      <c r="K71" s="30" cm="1">
        <f t="array" ref="K71">IFERROR(VLOOKUP(TimeLog[[#This Row],[Project No]],ProjectsList[],_xlfn.SWITCH(TimeLog[[#This Row],[Type]],"ST",5,"OT",6,"TT",7,"HD",8),FALSE),"")</f>
        <v>110</v>
      </c>
      <c r="L71" s="107">
        <f>IFERROR(TimeLog[[#This Row],[Rate]]*TimeLog[[#This Row],[Hours]],"")</f>
        <v>220</v>
      </c>
    </row>
    <row r="72" spans="2:12" ht="19.5" customHeight="1" x14ac:dyDescent="0.25">
      <c r="B72" s="27">
        <v>45741</v>
      </c>
      <c r="C72" s="28">
        <v>506</v>
      </c>
      <c r="D72" s="29" t="str">
        <f>IFERROR(VLOOKUP(TimeLog[[#This Row],[Project No]],ProjectsList[],2,FALSE),"")</f>
        <v>TRK Engineering Services, Inc.</v>
      </c>
      <c r="E72" s="29" t="str">
        <f>IFERROR(VLOOKUP(TimeLog[[#This Row],[Project No]],ProjectsList[],3,FALSE),"")</f>
        <v>Suncor Weekly Meetings</v>
      </c>
      <c r="F72" s="21" t="s">
        <v>68</v>
      </c>
      <c r="G72" s="30">
        <v>3</v>
      </c>
      <c r="H72" s="41" t="s">
        <v>47</v>
      </c>
      <c r="I72" s="40"/>
      <c r="J72" s="43">
        <v>643</v>
      </c>
      <c r="K72" s="30" cm="1">
        <f t="array" ref="K72">IFERROR(VLOOKUP(TimeLog[[#This Row],[Project No]],ProjectsList[],_xlfn.SWITCH(TimeLog[[#This Row],[Type]],"ST",5,"OT",6,"TT",7,"HD",8),FALSE),"")</f>
        <v>110</v>
      </c>
      <c r="L72" s="107">
        <f>IFERROR(TimeLog[[#This Row],[Rate]]*TimeLog[[#This Row],[Hours]],"")</f>
        <v>330</v>
      </c>
    </row>
    <row r="73" spans="2:12" ht="19.5" customHeight="1" x14ac:dyDescent="0.25">
      <c r="B73" s="27">
        <v>45747</v>
      </c>
      <c r="C73" s="28">
        <v>507</v>
      </c>
      <c r="D73" s="29" t="str">
        <f>IFERROR(VLOOKUP(TimeLog[[#This Row],[Project No]],ProjectsList[],2,FALSE),"")</f>
        <v>TRK Engineering Services, Inc.</v>
      </c>
      <c r="E73" s="29" t="str">
        <f>IFERROR(VLOOKUP(TimeLog[[#This Row],[Project No]],ProjectsList[],3,FALSE),"")</f>
        <v>Suncor Extra Engineering</v>
      </c>
      <c r="F73" s="21" t="s">
        <v>225</v>
      </c>
      <c r="G73" s="30">
        <v>1</v>
      </c>
      <c r="H73" s="41" t="s">
        <v>47</v>
      </c>
      <c r="I73" s="40"/>
      <c r="J73" s="43">
        <v>644</v>
      </c>
      <c r="K73" s="30" cm="1">
        <f t="array" ref="K73">IFERROR(VLOOKUP(TimeLog[[#This Row],[Project No]],ProjectsList[],_xlfn.SWITCH(TimeLog[[#This Row],[Type]],"ST",5,"OT",6,"TT",7,"HD",8),FALSE),"")</f>
        <v>110</v>
      </c>
      <c r="L73" s="107">
        <f>IFERROR(TimeLog[[#This Row],[Rate]]*TimeLog[[#This Row],[Hours]],"")</f>
        <v>110</v>
      </c>
    </row>
    <row r="74" spans="2:12" ht="19.5" customHeight="1" x14ac:dyDescent="0.25">
      <c r="B74" s="27">
        <v>45748</v>
      </c>
      <c r="C74" s="28">
        <v>506</v>
      </c>
      <c r="D74" s="29" t="str">
        <f>IFERROR(VLOOKUP(TimeLog[[#This Row],[Project No]],ProjectsList[],2,FALSE),"")</f>
        <v>TRK Engineering Services, Inc.</v>
      </c>
      <c r="E74" s="29" t="str">
        <f>IFERROR(VLOOKUP(TimeLog[[#This Row],[Project No]],ProjectsList[],3,FALSE),"")</f>
        <v>Suncor Weekly Meetings</v>
      </c>
      <c r="F74" s="21" t="s">
        <v>68</v>
      </c>
      <c r="G74" s="30">
        <v>3</v>
      </c>
      <c r="H74" s="41" t="s">
        <v>47</v>
      </c>
      <c r="I74" s="40"/>
      <c r="J74" s="43">
        <v>643</v>
      </c>
      <c r="K74" s="30" cm="1">
        <f t="array" ref="K74">IFERROR(VLOOKUP(TimeLog[[#This Row],[Project No]],ProjectsList[],_xlfn.SWITCH(TimeLog[[#This Row],[Type]],"ST",5,"OT",6,"TT",7,"HD",8),FALSE),"")</f>
        <v>110</v>
      </c>
      <c r="L74" s="107">
        <f>IFERROR(TimeLog[[#This Row],[Rate]]*TimeLog[[#This Row],[Hours]],"")</f>
        <v>330</v>
      </c>
    </row>
    <row r="75" spans="2:12" ht="19.5" customHeight="1" x14ac:dyDescent="0.25">
      <c r="B75" s="27">
        <v>45749</v>
      </c>
      <c r="C75" s="28">
        <v>506</v>
      </c>
      <c r="D75" s="29" t="str">
        <f>IFERROR(VLOOKUP(TimeLog[[#This Row],[Project No]],ProjectsList[],2,FALSE),"")</f>
        <v>TRK Engineering Services, Inc.</v>
      </c>
      <c r="E75" s="29" t="str">
        <f>IFERROR(VLOOKUP(TimeLog[[#This Row],[Project No]],ProjectsList[],3,FALSE),"")</f>
        <v>Suncor Weekly Meetings</v>
      </c>
      <c r="F75" s="21" t="s">
        <v>68</v>
      </c>
      <c r="G75" s="30">
        <v>2</v>
      </c>
      <c r="H75" s="41" t="s">
        <v>47</v>
      </c>
      <c r="I75" s="40"/>
      <c r="J75" s="43">
        <v>643</v>
      </c>
      <c r="K75" s="30" cm="1">
        <f t="array" ref="K75">IFERROR(VLOOKUP(TimeLog[[#This Row],[Project No]],ProjectsList[],_xlfn.SWITCH(TimeLog[[#This Row],[Type]],"ST",5,"OT",6,"TT",7,"HD",8),FALSE),"")</f>
        <v>110</v>
      </c>
      <c r="L75" s="107">
        <f>IFERROR(TimeLog[[#This Row],[Rate]]*TimeLog[[#This Row],[Hours]],"")</f>
        <v>220</v>
      </c>
    </row>
    <row r="76" spans="2:12" ht="19.5" customHeight="1" x14ac:dyDescent="0.25">
      <c r="B76" s="27">
        <v>45755</v>
      </c>
      <c r="C76" s="28">
        <v>506</v>
      </c>
      <c r="D76" s="29" t="str">
        <f>IFERROR(VLOOKUP(TimeLog[[#This Row],[Project No]],ProjectsList[],2,FALSE),"")</f>
        <v>TRK Engineering Services, Inc.</v>
      </c>
      <c r="E76" s="29" t="str">
        <f>IFERROR(VLOOKUP(TimeLog[[#This Row],[Project No]],ProjectsList[],3,FALSE),"")</f>
        <v>Suncor Weekly Meetings</v>
      </c>
      <c r="F76" s="21" t="s">
        <v>68</v>
      </c>
      <c r="G76" s="30">
        <v>2</v>
      </c>
      <c r="H76" s="41" t="s">
        <v>47</v>
      </c>
      <c r="I76" s="40"/>
      <c r="J76" s="43">
        <v>643</v>
      </c>
      <c r="K76" s="30" cm="1">
        <f t="array" ref="K76">IFERROR(VLOOKUP(TimeLog[[#This Row],[Project No]],ProjectsList[],_xlfn.SWITCH(TimeLog[[#This Row],[Type]],"ST",5,"OT",6,"TT",7,"HD",8),FALSE),"")</f>
        <v>110</v>
      </c>
      <c r="L76" s="107">
        <f>IFERROR(TimeLog[[#This Row],[Rate]]*TimeLog[[#This Row],[Hours]],"")</f>
        <v>220</v>
      </c>
    </row>
    <row r="77" spans="2:12" ht="19.5" customHeight="1" x14ac:dyDescent="0.25">
      <c r="B77" s="27">
        <v>45761</v>
      </c>
      <c r="C77" s="28">
        <v>506</v>
      </c>
      <c r="D77" s="29" t="str">
        <f>IFERROR(VLOOKUP(TimeLog[[#This Row],[Project No]],ProjectsList[],2,FALSE),"")</f>
        <v>TRK Engineering Services, Inc.</v>
      </c>
      <c r="E77" s="29" t="str">
        <f>IFERROR(VLOOKUP(TimeLog[[#This Row],[Project No]],ProjectsList[],3,FALSE),"")</f>
        <v>Suncor Weekly Meetings</v>
      </c>
      <c r="F77" s="21" t="s">
        <v>226</v>
      </c>
      <c r="G77" s="30">
        <v>3</v>
      </c>
      <c r="H77" s="41" t="s">
        <v>47</v>
      </c>
      <c r="I77" s="40"/>
      <c r="J77" s="43">
        <v>643</v>
      </c>
      <c r="K77" s="30" cm="1">
        <f t="array" ref="K77">IFERROR(VLOOKUP(TimeLog[[#This Row],[Project No]],ProjectsList[],_xlfn.SWITCH(TimeLog[[#This Row],[Type]],"ST",5,"OT",6,"TT",7,"HD",8),FALSE),"")</f>
        <v>110</v>
      </c>
      <c r="L77" s="107">
        <f>IFERROR(TimeLog[[#This Row],[Rate]]*TimeLog[[#This Row],[Hours]],"")</f>
        <v>330</v>
      </c>
    </row>
    <row r="78" spans="2:12" ht="19.5" customHeight="1" x14ac:dyDescent="0.25">
      <c r="B78" s="27">
        <v>45761</v>
      </c>
      <c r="C78" s="28">
        <v>507</v>
      </c>
      <c r="D78" s="29" t="str">
        <f>IFERROR(VLOOKUP(TimeLog[[#This Row],[Project No]],ProjectsList[],2,FALSE),"")</f>
        <v>TRK Engineering Services, Inc.</v>
      </c>
      <c r="E78" s="29" t="str">
        <f>IFERROR(VLOOKUP(TimeLog[[#This Row],[Project No]],ProjectsList[],3,FALSE),"")</f>
        <v>Suncor Extra Engineering</v>
      </c>
      <c r="F78" s="21" t="s">
        <v>227</v>
      </c>
      <c r="G78" s="30">
        <v>4</v>
      </c>
      <c r="H78" s="41" t="s">
        <v>47</v>
      </c>
      <c r="I78" s="40"/>
      <c r="J78" s="43">
        <v>644</v>
      </c>
      <c r="K78" s="30" cm="1">
        <f t="array" ref="K78">IFERROR(VLOOKUP(TimeLog[[#This Row],[Project No]],ProjectsList[],_xlfn.SWITCH(TimeLog[[#This Row],[Type]],"ST",5,"OT",6,"TT",7,"HD",8),FALSE),"")</f>
        <v>110</v>
      </c>
      <c r="L78" s="107">
        <f>IFERROR(TimeLog[[#This Row],[Rate]]*TimeLog[[#This Row],[Hours]],"")</f>
        <v>440</v>
      </c>
    </row>
    <row r="79" spans="2:12" ht="19.5" customHeight="1" x14ac:dyDescent="0.25">
      <c r="B79" s="27">
        <v>45762</v>
      </c>
      <c r="C79" s="28">
        <v>506</v>
      </c>
      <c r="D79" s="29" t="str">
        <f>IFERROR(VLOOKUP(TimeLog[[#This Row],[Project No]],ProjectsList[],2,FALSE),"")</f>
        <v>TRK Engineering Services, Inc.</v>
      </c>
      <c r="E79" s="29" t="str">
        <f>IFERROR(VLOOKUP(TimeLog[[#This Row],[Project No]],ProjectsList[],3,FALSE),"")</f>
        <v>Suncor Weekly Meetings</v>
      </c>
      <c r="F79" s="21" t="s">
        <v>68</v>
      </c>
      <c r="G79" s="30">
        <v>2</v>
      </c>
      <c r="H79" s="41" t="s">
        <v>47</v>
      </c>
      <c r="I79" s="40"/>
      <c r="J79" s="43">
        <v>643</v>
      </c>
      <c r="K79" s="30" cm="1">
        <f t="array" ref="K79">IFERROR(VLOOKUP(TimeLog[[#This Row],[Project No]],ProjectsList[],_xlfn.SWITCH(TimeLog[[#This Row],[Type]],"ST",5,"OT",6,"TT",7,"HD",8),FALSE),"")</f>
        <v>110</v>
      </c>
      <c r="L79" s="107">
        <f>IFERROR(TimeLog[[#This Row],[Rate]]*TimeLog[[#This Row],[Hours]],"")</f>
        <v>220</v>
      </c>
    </row>
    <row r="80" spans="2:12" ht="19.5" customHeight="1" x14ac:dyDescent="0.25">
      <c r="B80" s="27">
        <v>45763</v>
      </c>
      <c r="C80" s="28">
        <v>489</v>
      </c>
      <c r="D80" s="29" t="str">
        <f>IFERROR(VLOOKUP(TimeLog[[#This Row],[Project No]],ProjectsList[],2,FALSE),"")</f>
        <v>TRK Engineering Services, Inc.</v>
      </c>
      <c r="E80" s="29" t="str">
        <f>IFERROR(VLOOKUP(TimeLog[[#This Row],[Project No]],ProjectsList[],3,FALSE),"")</f>
        <v>Holcim Lafarge - Joppa</v>
      </c>
      <c r="F80" s="21" t="s">
        <v>68</v>
      </c>
      <c r="G80" s="30">
        <v>1</v>
      </c>
      <c r="H80" s="41" t="s">
        <v>47</v>
      </c>
      <c r="I80" s="40"/>
      <c r="J80" s="43">
        <v>645</v>
      </c>
      <c r="K80" s="30" cm="1">
        <f t="array" ref="K80">IFERROR(VLOOKUP(TimeLog[[#This Row],[Project No]],ProjectsList[],_xlfn.SWITCH(TimeLog[[#This Row],[Type]],"ST",5,"OT",6,"TT",7,"HD",8),FALSE),"")</f>
        <v>110</v>
      </c>
      <c r="L80" s="107">
        <f>IFERROR(TimeLog[[#This Row],[Rate]]*TimeLog[[#This Row],[Hours]],"")</f>
        <v>110</v>
      </c>
    </row>
    <row r="81" spans="2:12" ht="19.5" customHeight="1" x14ac:dyDescent="0.25">
      <c r="B81" s="27">
        <v>45765</v>
      </c>
      <c r="C81" s="28">
        <v>510</v>
      </c>
      <c r="D81" s="29" t="str">
        <f>IFERROR(VLOOKUP(TimeLog[[#This Row],[Project No]],ProjectsList[],2,FALSE),"")</f>
        <v>TRK Engineering Services, Inc.</v>
      </c>
      <c r="E81" s="29" t="str">
        <f>IFERROR(VLOOKUP(TimeLog[[#This Row],[Project No]],ProjectsList[],3,FALSE),"")</f>
        <v>OI Brockway Glass</v>
      </c>
      <c r="F81" s="21" t="s">
        <v>68</v>
      </c>
      <c r="G81" s="30">
        <v>2</v>
      </c>
      <c r="H81" s="41" t="s">
        <v>47</v>
      </c>
      <c r="I81" s="40"/>
      <c r="J81" s="43">
        <v>642</v>
      </c>
      <c r="K81" s="30" cm="1">
        <f t="array" ref="K81">IFERROR(VLOOKUP(TimeLog[[#This Row],[Project No]],ProjectsList[],_xlfn.SWITCH(TimeLog[[#This Row],[Type]],"ST",5,"OT",6,"TT",7,"HD",8),FALSE),"")</f>
        <v>110</v>
      </c>
      <c r="L81" s="107">
        <f>IFERROR(TimeLog[[#This Row],[Rate]]*TimeLog[[#This Row],[Hours]],"")</f>
        <v>220</v>
      </c>
    </row>
    <row r="82" spans="2:12" ht="19.5" customHeight="1" x14ac:dyDescent="0.25">
      <c r="B82" s="27">
        <v>45768</v>
      </c>
      <c r="C82" s="28">
        <v>506</v>
      </c>
      <c r="D82" s="29" t="str">
        <f>IFERROR(VLOOKUP(TimeLog[[#This Row],[Project No]],ProjectsList[],2,FALSE),"")</f>
        <v>TRK Engineering Services, Inc.</v>
      </c>
      <c r="E82" s="29" t="str">
        <f>IFERROR(VLOOKUP(TimeLog[[#This Row],[Project No]],ProjectsList[],3,FALSE),"")</f>
        <v>Suncor Weekly Meetings</v>
      </c>
      <c r="F82" s="21" t="s">
        <v>68</v>
      </c>
      <c r="G82" s="30">
        <v>1</v>
      </c>
      <c r="H82" s="41" t="s">
        <v>47</v>
      </c>
      <c r="I82" s="40"/>
      <c r="J82" s="43">
        <v>643</v>
      </c>
      <c r="K82" s="30" cm="1">
        <f t="array" ref="K82">IFERROR(VLOOKUP(TimeLog[[#This Row],[Project No]],ProjectsList[],_xlfn.SWITCH(TimeLog[[#This Row],[Type]],"ST",5,"OT",6,"TT",7,"HD",8),FALSE),"")</f>
        <v>110</v>
      </c>
      <c r="L82" s="107">
        <f>IFERROR(TimeLog[[#This Row],[Rate]]*TimeLog[[#This Row],[Hours]],"")</f>
        <v>110</v>
      </c>
    </row>
    <row r="83" spans="2:12" ht="19.5" customHeight="1" x14ac:dyDescent="0.25">
      <c r="B83" s="27">
        <v>45769</v>
      </c>
      <c r="C83" s="28">
        <v>510</v>
      </c>
      <c r="D83" s="29" t="str">
        <f>IFERROR(VLOOKUP(TimeLog[[#This Row],[Project No]],ProjectsList[],2,FALSE),"")</f>
        <v>TRK Engineering Services, Inc.</v>
      </c>
      <c r="E83" s="29" t="str">
        <f>IFERROR(VLOOKUP(TimeLog[[#This Row],[Project No]],ProjectsList[],3,FALSE),"")</f>
        <v>OI Brockway Glass</v>
      </c>
      <c r="F83" s="21" t="s">
        <v>229</v>
      </c>
      <c r="G83" s="30">
        <v>8</v>
      </c>
      <c r="H83" s="41" t="s">
        <v>48</v>
      </c>
      <c r="I83" s="40"/>
      <c r="J83" s="43">
        <v>642</v>
      </c>
      <c r="K83" s="30" cm="1">
        <f t="array" ref="K83">IFERROR(VLOOKUP(TimeLog[[#This Row],[Project No]],ProjectsList[],_xlfn.SWITCH(TimeLog[[#This Row],[Type]],"ST",5,"OT",6,"TT",7,"HD",8),FALSE),"")</f>
        <v>55</v>
      </c>
      <c r="L83" s="107">
        <f>IFERROR(TimeLog[[#This Row],[Rate]]*TimeLog[[#This Row],[Hours]],"")</f>
        <v>440</v>
      </c>
    </row>
    <row r="84" spans="2:12" ht="19.5" customHeight="1" x14ac:dyDescent="0.25">
      <c r="B84" s="27">
        <v>45770</v>
      </c>
      <c r="C84" s="28">
        <v>510</v>
      </c>
      <c r="D84" s="29" t="str">
        <f>IFERROR(VLOOKUP(TimeLog[[#This Row],[Project No]],ProjectsList[],2,FALSE),"")</f>
        <v>TRK Engineering Services, Inc.</v>
      </c>
      <c r="E84" s="29" t="str">
        <f>IFERROR(VLOOKUP(TimeLog[[#This Row],[Project No]],ProjectsList[],3,FALSE),"")</f>
        <v>OI Brockway Glass</v>
      </c>
      <c r="F84" s="21" t="s">
        <v>145</v>
      </c>
      <c r="G84" s="30">
        <v>10</v>
      </c>
      <c r="H84" s="41" t="s">
        <v>47</v>
      </c>
      <c r="I84" s="40"/>
      <c r="J84" s="43">
        <v>642</v>
      </c>
      <c r="K84" s="30" cm="1">
        <f t="array" ref="K84">IFERROR(VLOOKUP(TimeLog[[#This Row],[Project No]],ProjectsList[],_xlfn.SWITCH(TimeLog[[#This Row],[Type]],"ST",5,"OT",6,"TT",7,"HD",8),FALSE),"")</f>
        <v>110</v>
      </c>
      <c r="L84" s="107">
        <f>IFERROR(TimeLog[[#This Row],[Rate]]*TimeLog[[#This Row],[Hours]],"")</f>
        <v>1100</v>
      </c>
    </row>
    <row r="85" spans="2:12" ht="19.5" customHeight="1" x14ac:dyDescent="0.25">
      <c r="B85" s="27">
        <v>45771</v>
      </c>
      <c r="C85" s="28">
        <v>510</v>
      </c>
      <c r="D85" s="29" t="str">
        <f>IFERROR(VLOOKUP(TimeLog[[#This Row],[Project No]],ProjectsList[],2,FALSE),"")</f>
        <v>TRK Engineering Services, Inc.</v>
      </c>
      <c r="E85" s="29" t="str">
        <f>IFERROR(VLOOKUP(TimeLog[[#This Row],[Project No]],ProjectsList[],3,FALSE),"")</f>
        <v>OI Brockway Glass</v>
      </c>
      <c r="F85" s="21" t="s">
        <v>145</v>
      </c>
      <c r="G85" s="30">
        <v>10</v>
      </c>
      <c r="H85" s="41" t="s">
        <v>47</v>
      </c>
      <c r="I85" s="40"/>
      <c r="J85" s="43">
        <v>642</v>
      </c>
      <c r="K85" s="30" cm="1">
        <f t="array" ref="K85">IFERROR(VLOOKUP(TimeLog[[#This Row],[Project No]],ProjectsList[],_xlfn.SWITCH(TimeLog[[#This Row],[Type]],"ST",5,"OT",6,"TT",7,"HD",8),FALSE),"")</f>
        <v>110</v>
      </c>
      <c r="L85" s="107">
        <f>IFERROR(TimeLog[[#This Row],[Rate]]*TimeLog[[#This Row],[Hours]],"")</f>
        <v>1100</v>
      </c>
    </row>
    <row r="86" spans="2:12" ht="19.5" customHeight="1" x14ac:dyDescent="0.25">
      <c r="B86" s="27">
        <v>45772</v>
      </c>
      <c r="C86" s="28">
        <v>510</v>
      </c>
      <c r="D86" s="29" t="str">
        <f>IFERROR(VLOOKUP(TimeLog[[#This Row],[Project No]],ProjectsList[],2,FALSE),"")</f>
        <v>TRK Engineering Services, Inc.</v>
      </c>
      <c r="E86" s="29" t="str">
        <f>IFERROR(VLOOKUP(TimeLog[[#This Row],[Project No]],ProjectsList[],3,FALSE),"")</f>
        <v>OI Brockway Glass</v>
      </c>
      <c r="F86" s="21" t="s">
        <v>145</v>
      </c>
      <c r="G86" s="30">
        <v>10</v>
      </c>
      <c r="H86" s="41" t="s">
        <v>47</v>
      </c>
      <c r="I86" s="40"/>
      <c r="J86" s="43">
        <v>642</v>
      </c>
      <c r="K86" s="30" cm="1">
        <f t="array" ref="K86">IFERROR(VLOOKUP(TimeLog[[#This Row],[Project No]],ProjectsList[],_xlfn.SWITCH(TimeLog[[#This Row],[Type]],"ST",5,"OT",6,"TT",7,"HD",8),FALSE),"")</f>
        <v>110</v>
      </c>
      <c r="L86" s="107">
        <f>IFERROR(TimeLog[[#This Row],[Rate]]*TimeLog[[#This Row],[Hours]],"")</f>
        <v>1100</v>
      </c>
    </row>
    <row r="87" spans="2:12" ht="19.5" customHeight="1" x14ac:dyDescent="0.25">
      <c r="B87" s="27">
        <v>45773</v>
      </c>
      <c r="C87" s="28">
        <v>510</v>
      </c>
      <c r="D87" s="29" t="str">
        <f>IFERROR(VLOOKUP(TimeLog[[#This Row],[Project No]],ProjectsList[],2,FALSE),"")</f>
        <v>TRK Engineering Services, Inc.</v>
      </c>
      <c r="E87" s="29" t="str">
        <f>IFERROR(VLOOKUP(TimeLog[[#This Row],[Project No]],ProjectsList[],3,FALSE),"")</f>
        <v>OI Brockway Glass</v>
      </c>
      <c r="F87" s="21" t="s">
        <v>229</v>
      </c>
      <c r="G87" s="30">
        <v>8</v>
      </c>
      <c r="H87" s="41" t="s">
        <v>47</v>
      </c>
      <c r="I87" s="40"/>
      <c r="J87" s="43">
        <v>642</v>
      </c>
      <c r="K87" s="30" cm="1">
        <f t="array" ref="K87">IFERROR(VLOOKUP(TimeLog[[#This Row],[Project No]],ProjectsList[],_xlfn.SWITCH(TimeLog[[#This Row],[Type]],"ST",5,"OT",6,"TT",7,"HD",8),FALSE),"")</f>
        <v>110</v>
      </c>
      <c r="L87" s="107">
        <f>IFERROR(TimeLog[[#This Row],[Rate]]*TimeLog[[#This Row],[Hours]],"")</f>
        <v>880</v>
      </c>
    </row>
    <row r="88" spans="2:12" ht="19.5" customHeight="1" x14ac:dyDescent="0.25">
      <c r="B88" s="27">
        <v>45776</v>
      </c>
      <c r="C88" s="28">
        <v>506</v>
      </c>
      <c r="D88" s="29" t="str">
        <f>IFERROR(VLOOKUP(TimeLog[[#This Row],[Project No]],ProjectsList[],2,FALSE),"")</f>
        <v>TRK Engineering Services, Inc.</v>
      </c>
      <c r="E88" s="29" t="str">
        <f>IFERROR(VLOOKUP(TimeLog[[#This Row],[Project No]],ProjectsList[],3,FALSE),"")</f>
        <v>Suncor Weekly Meetings</v>
      </c>
      <c r="F88" s="21" t="s">
        <v>68</v>
      </c>
      <c r="G88" s="30">
        <v>1</v>
      </c>
      <c r="H88" s="41" t="s">
        <v>47</v>
      </c>
      <c r="I88" s="40"/>
      <c r="J88" s="43">
        <v>643</v>
      </c>
      <c r="K88" s="30" cm="1">
        <f t="array" ref="K88">IFERROR(VLOOKUP(TimeLog[[#This Row],[Project No]],ProjectsList[],_xlfn.SWITCH(TimeLog[[#This Row],[Type]],"ST",5,"OT",6,"TT",7,"HD",8),FALSE),"")</f>
        <v>110</v>
      </c>
      <c r="L88" s="107">
        <f>IFERROR(TimeLog[[#This Row],[Rate]]*TimeLog[[#This Row],[Hours]],"")</f>
        <v>110</v>
      </c>
    </row>
    <row r="89" spans="2:12" ht="19.5" customHeight="1" x14ac:dyDescent="0.25">
      <c r="B89" s="27">
        <v>45777</v>
      </c>
      <c r="C89" s="28">
        <v>506</v>
      </c>
      <c r="D89" s="29" t="str">
        <f>IFERROR(VLOOKUP(TimeLog[[#This Row],[Project No]],ProjectsList[],2,FALSE),"")</f>
        <v>TRK Engineering Services, Inc.</v>
      </c>
      <c r="E89" s="29" t="str">
        <f>IFERROR(VLOOKUP(TimeLog[[#This Row],[Project No]],ProjectsList[],3,FALSE),"")</f>
        <v>Suncor Weekly Meetings</v>
      </c>
      <c r="F89" s="21" t="s">
        <v>68</v>
      </c>
      <c r="G89" s="30">
        <v>3</v>
      </c>
      <c r="H89" s="41" t="s">
        <v>47</v>
      </c>
      <c r="I89" s="40"/>
      <c r="J89" s="43">
        <v>643</v>
      </c>
      <c r="K89" s="30" cm="1">
        <f t="array" ref="K89">IFERROR(VLOOKUP(TimeLog[[#This Row],[Project No]],ProjectsList[],_xlfn.SWITCH(TimeLog[[#This Row],[Type]],"ST",5,"OT",6,"TT",7,"HD",8),FALSE),"")</f>
        <v>110</v>
      </c>
      <c r="L89" s="107">
        <f>IFERROR(TimeLog[[#This Row],[Rate]]*TimeLog[[#This Row],[Hours]],"")</f>
        <v>330</v>
      </c>
    </row>
    <row r="90" spans="2:12" ht="19.5" customHeight="1" x14ac:dyDescent="0.25">
      <c r="B90" s="27">
        <v>45778</v>
      </c>
      <c r="C90" s="28">
        <v>510</v>
      </c>
      <c r="D90" s="29" t="str">
        <f>IFERROR(VLOOKUP(TimeLog[[#This Row],[Project No]],ProjectsList[],2,FALSE),"")</f>
        <v>TRK Engineering Services, Inc.</v>
      </c>
      <c r="E90" s="29" t="str">
        <f>IFERROR(VLOOKUP(TimeLog[[#This Row],[Project No]],ProjectsList[],3,FALSE),"")</f>
        <v>OI Brockway Glass</v>
      </c>
      <c r="F90" s="21" t="s">
        <v>201</v>
      </c>
      <c r="G90" s="30">
        <v>2</v>
      </c>
      <c r="H90" s="41" t="s">
        <v>47</v>
      </c>
      <c r="I90" s="40"/>
      <c r="J90" s="43">
        <v>642</v>
      </c>
      <c r="K90" s="30" cm="1">
        <f t="array" ref="K90">IFERROR(VLOOKUP(TimeLog[[#This Row],[Project No]],ProjectsList[],_xlfn.SWITCH(TimeLog[[#This Row],[Type]],"ST",5,"OT",6,"TT",7,"HD",8),FALSE),"")</f>
        <v>110</v>
      </c>
      <c r="L90" s="107">
        <f>IFERROR(TimeLog[[#This Row],[Rate]]*TimeLog[[#This Row],[Hours]],"")</f>
        <v>220</v>
      </c>
    </row>
    <row r="91" spans="2:12" ht="19.5" customHeight="1" x14ac:dyDescent="0.25">
      <c r="B91" s="27">
        <v>45779</v>
      </c>
      <c r="C91" s="28">
        <v>510</v>
      </c>
      <c r="D91" s="29" t="str">
        <f>IFERROR(VLOOKUP(TimeLog[[#This Row],[Project No]],ProjectsList[],2,FALSE),"")</f>
        <v>TRK Engineering Services, Inc.</v>
      </c>
      <c r="E91" s="29" t="str">
        <f>IFERROR(VLOOKUP(TimeLog[[#This Row],[Project No]],ProjectsList[],3,FALSE),"")</f>
        <v>OI Brockway Glass</v>
      </c>
      <c r="F91" s="21" t="s">
        <v>201</v>
      </c>
      <c r="G91" s="30">
        <v>2</v>
      </c>
      <c r="H91" s="41" t="s">
        <v>47</v>
      </c>
      <c r="I91" s="40"/>
      <c r="J91" s="43">
        <v>642</v>
      </c>
      <c r="K91" s="30" cm="1">
        <f t="array" ref="K91">IFERROR(VLOOKUP(TimeLog[[#This Row],[Project No]],ProjectsList[],_xlfn.SWITCH(TimeLog[[#This Row],[Type]],"ST",5,"OT",6,"TT",7,"HD",8),FALSE),"")</f>
        <v>110</v>
      </c>
      <c r="L91" s="107">
        <f>IFERROR(TimeLog[[#This Row],[Rate]]*TimeLog[[#This Row],[Hours]],"")</f>
        <v>220</v>
      </c>
    </row>
    <row r="92" spans="2:12" ht="19.5" customHeight="1" x14ac:dyDescent="0.25">
      <c r="B92" s="27">
        <v>45780</v>
      </c>
      <c r="C92" s="28">
        <v>507</v>
      </c>
      <c r="D92" s="29" t="str">
        <f>IFERROR(VLOOKUP(TimeLog[[#This Row],[Project No]],ProjectsList[],2,FALSE),"")</f>
        <v>TRK Engineering Services, Inc.</v>
      </c>
      <c r="E92" s="29" t="str">
        <f>IFERROR(VLOOKUP(TimeLog[[#This Row],[Project No]],ProjectsList[],3,FALSE),"")</f>
        <v>Suncor Extra Engineering</v>
      </c>
      <c r="F92" s="21" t="s">
        <v>154</v>
      </c>
      <c r="G92" s="30">
        <v>3</v>
      </c>
      <c r="H92" s="41" t="s">
        <v>47</v>
      </c>
      <c r="I92" s="40"/>
      <c r="J92" s="43">
        <v>644</v>
      </c>
      <c r="K92" s="30" cm="1">
        <f t="array" ref="K92">IFERROR(VLOOKUP(TimeLog[[#This Row],[Project No]],ProjectsList[],_xlfn.SWITCH(TimeLog[[#This Row],[Type]],"ST",5,"OT",6,"TT",7,"HD",8),FALSE),"")</f>
        <v>110</v>
      </c>
      <c r="L92" s="107">
        <f>IFERROR(TimeLog[[#This Row],[Rate]]*TimeLog[[#This Row],[Hours]],"")</f>
        <v>330</v>
      </c>
    </row>
    <row r="93" spans="2:12" ht="19.5" customHeight="1" x14ac:dyDescent="0.25">
      <c r="B93" s="27">
        <v>45782</v>
      </c>
      <c r="C93" s="28">
        <v>507</v>
      </c>
      <c r="D93" s="29" t="str">
        <f>IFERROR(VLOOKUP(TimeLog[[#This Row],[Project No]],ProjectsList[],2,FALSE),"")</f>
        <v>TRK Engineering Services, Inc.</v>
      </c>
      <c r="E93" s="29" t="str">
        <f>IFERROR(VLOOKUP(TimeLog[[#This Row],[Project No]],ProjectsList[],3,FALSE),"")</f>
        <v>Suncor Extra Engineering</v>
      </c>
      <c r="F93" s="21" t="s">
        <v>222</v>
      </c>
      <c r="G93" s="30">
        <v>1</v>
      </c>
      <c r="H93" s="41" t="s">
        <v>47</v>
      </c>
      <c r="I93" s="40"/>
      <c r="J93" s="43">
        <v>644</v>
      </c>
      <c r="K93" s="30" cm="1">
        <f t="array" ref="K93">IFERROR(VLOOKUP(TimeLog[[#This Row],[Project No]],ProjectsList[],_xlfn.SWITCH(TimeLog[[#This Row],[Type]],"ST",5,"OT",6,"TT",7,"HD",8),FALSE),"")</f>
        <v>110</v>
      </c>
      <c r="L93" s="107">
        <f>IFERROR(TimeLog[[#This Row],[Rate]]*TimeLog[[#This Row],[Hours]],"")</f>
        <v>110</v>
      </c>
    </row>
    <row r="94" spans="2:12" ht="19.5" customHeight="1" x14ac:dyDescent="0.25">
      <c r="B94" s="27">
        <v>45783</v>
      </c>
      <c r="C94" s="28">
        <v>507</v>
      </c>
      <c r="D94" s="29" t="str">
        <f>IFERROR(VLOOKUP(TimeLog[[#This Row],[Project No]],ProjectsList[],2,FALSE),"")</f>
        <v>TRK Engineering Services, Inc.</v>
      </c>
      <c r="E94" s="29" t="str">
        <f>IFERROR(VLOOKUP(TimeLog[[#This Row],[Project No]],ProjectsList[],3,FALSE),"")</f>
        <v>Suncor Extra Engineering</v>
      </c>
      <c r="F94" s="21" t="s">
        <v>230</v>
      </c>
      <c r="G94" s="30">
        <v>2</v>
      </c>
      <c r="H94" s="41" t="s">
        <v>47</v>
      </c>
      <c r="I94" s="40"/>
      <c r="J94" s="43">
        <v>644</v>
      </c>
      <c r="K94" s="30" cm="1">
        <f t="array" ref="K94">IFERROR(VLOOKUP(TimeLog[[#This Row],[Project No]],ProjectsList[],_xlfn.SWITCH(TimeLog[[#This Row],[Type]],"ST",5,"OT",6,"TT",7,"HD",8),FALSE),"")</f>
        <v>110</v>
      </c>
      <c r="L94" s="107">
        <f>IFERROR(TimeLog[[#This Row],[Rate]]*TimeLog[[#This Row],[Hours]],"")</f>
        <v>220</v>
      </c>
    </row>
    <row r="95" spans="2:12" ht="19.5" customHeight="1" x14ac:dyDescent="0.25">
      <c r="B95" s="27">
        <v>45783</v>
      </c>
      <c r="C95" s="28">
        <v>506</v>
      </c>
      <c r="D95" s="29" t="str">
        <f>IFERROR(VLOOKUP(TimeLog[[#This Row],[Project No]],ProjectsList[],2,FALSE),"")</f>
        <v>TRK Engineering Services, Inc.</v>
      </c>
      <c r="E95" s="29" t="str">
        <f>IFERROR(VLOOKUP(TimeLog[[#This Row],[Project No]],ProjectsList[],3,FALSE),"")</f>
        <v>Suncor Weekly Meetings</v>
      </c>
      <c r="F95" s="21" t="s">
        <v>68</v>
      </c>
      <c r="G95" s="30">
        <v>1</v>
      </c>
      <c r="H95" s="41" t="s">
        <v>47</v>
      </c>
      <c r="I95" s="40"/>
      <c r="J95" s="43">
        <v>643</v>
      </c>
      <c r="K95" s="30" cm="1">
        <f t="array" ref="K95">IFERROR(VLOOKUP(TimeLog[[#This Row],[Project No]],ProjectsList[],_xlfn.SWITCH(TimeLog[[#This Row],[Type]],"ST",5,"OT",6,"TT",7,"HD",8),FALSE),"")</f>
        <v>110</v>
      </c>
      <c r="L95" s="107">
        <f>IFERROR(TimeLog[[#This Row],[Rate]]*TimeLog[[#This Row],[Hours]],"")</f>
        <v>110</v>
      </c>
    </row>
    <row r="96" spans="2:12" ht="19.5" customHeight="1" x14ac:dyDescent="0.25">
      <c r="B96" s="27">
        <v>45783</v>
      </c>
      <c r="C96" s="28">
        <v>511</v>
      </c>
      <c r="D96" s="29" t="str">
        <f>IFERROR(VLOOKUP(TimeLog[[#This Row],[Project No]],ProjectsList[],2,FALSE),"")</f>
        <v>TRK Engineering Services, Inc.</v>
      </c>
      <c r="E96" s="29" t="str">
        <f>IFERROR(VLOOKUP(TimeLog[[#This Row],[Project No]],ProjectsList[],3,FALSE),"")</f>
        <v>IP - Riverdale, AL RB1 and RB2</v>
      </c>
      <c r="F96" s="21" t="s">
        <v>229</v>
      </c>
      <c r="G96" s="30">
        <v>3</v>
      </c>
      <c r="H96" s="41" t="s">
        <v>48</v>
      </c>
      <c r="I96" s="40"/>
      <c r="J96" s="43">
        <v>640</v>
      </c>
      <c r="K96" s="30" cm="1">
        <f t="array" ref="K96">IFERROR(VLOOKUP(TimeLog[[#This Row],[Project No]],ProjectsList[],_xlfn.SWITCH(TimeLog[[#This Row],[Type]],"ST",5,"OT",6,"TT",7,"HD",8),FALSE),"")</f>
        <v>55</v>
      </c>
      <c r="L96" s="107">
        <f>IFERROR(TimeLog[[#This Row],[Rate]]*TimeLog[[#This Row],[Hours]],"")</f>
        <v>165</v>
      </c>
    </row>
    <row r="97" spans="2:12" ht="19.5" customHeight="1" x14ac:dyDescent="0.25">
      <c r="B97" s="27">
        <v>45784</v>
      </c>
      <c r="C97" s="28">
        <v>511</v>
      </c>
      <c r="D97" s="29" t="str">
        <f>IFERROR(VLOOKUP(TimeLog[[#This Row],[Project No]],ProjectsList[],2,FALSE),"")</f>
        <v>TRK Engineering Services, Inc.</v>
      </c>
      <c r="E97" s="29" t="str">
        <f>IFERROR(VLOOKUP(TimeLog[[#This Row],[Project No]],ProjectsList[],3,FALSE),"")</f>
        <v>IP - Riverdale, AL RB1 and RB2</v>
      </c>
      <c r="F97" s="21" t="s">
        <v>145</v>
      </c>
      <c r="G97" s="30">
        <v>10</v>
      </c>
      <c r="H97" s="41" t="s">
        <v>47</v>
      </c>
      <c r="I97" s="40"/>
      <c r="J97" s="43">
        <v>640</v>
      </c>
      <c r="K97" s="30" cm="1">
        <f t="array" ref="K97">IFERROR(VLOOKUP(TimeLog[[#This Row],[Project No]],ProjectsList[],_xlfn.SWITCH(TimeLog[[#This Row],[Type]],"ST",5,"OT",6,"TT",7,"HD",8),FALSE),"")</f>
        <v>110</v>
      </c>
      <c r="L97" s="107">
        <f>IFERROR(TimeLog[[#This Row],[Rate]]*TimeLog[[#This Row],[Hours]],"")</f>
        <v>1100</v>
      </c>
    </row>
    <row r="98" spans="2:12" ht="19.5" customHeight="1" x14ac:dyDescent="0.25">
      <c r="B98" s="27">
        <v>45784</v>
      </c>
      <c r="C98" s="28">
        <v>511</v>
      </c>
      <c r="D98" s="29" t="str">
        <f>IFERROR(VLOOKUP(TimeLog[[#This Row],[Project No]],ProjectsList[],2,FALSE),"")</f>
        <v>TRK Engineering Services, Inc.</v>
      </c>
      <c r="E98" s="29" t="str">
        <f>IFERROR(VLOOKUP(TimeLog[[#This Row],[Project No]],ProjectsList[],3,FALSE),"")</f>
        <v>IP - Riverdale, AL RB1 and RB2</v>
      </c>
      <c r="F98" s="21" t="s">
        <v>145</v>
      </c>
      <c r="G98" s="30">
        <v>2</v>
      </c>
      <c r="H98" s="41" t="s">
        <v>233</v>
      </c>
      <c r="I98" s="40"/>
      <c r="J98" s="43">
        <v>640</v>
      </c>
      <c r="K98" s="30" cm="1">
        <f t="array" ref="K98">IFERROR(VLOOKUP(TimeLog[[#This Row],[Project No]],ProjectsList[],_xlfn.SWITCH(TimeLog[[#This Row],[Type]],"ST",5,"OT",6,"TT",7,"HD",8),FALSE),"")</f>
        <v>165</v>
      </c>
      <c r="L98" s="107">
        <f>IFERROR(TimeLog[[#This Row],[Rate]]*TimeLog[[#This Row],[Hours]],"")</f>
        <v>330</v>
      </c>
    </row>
    <row r="99" spans="2:12" ht="19.5" customHeight="1" x14ac:dyDescent="0.25">
      <c r="B99" s="27">
        <v>45784</v>
      </c>
      <c r="C99" s="28">
        <v>510</v>
      </c>
      <c r="D99" s="29" t="str">
        <f>IFERROR(VLOOKUP(TimeLog[[#This Row],[Project No]],ProjectsList[],2,FALSE),"")</f>
        <v>TRK Engineering Services, Inc.</v>
      </c>
      <c r="E99" s="29" t="str">
        <f>IFERROR(VLOOKUP(TimeLog[[#This Row],[Project No]],ProjectsList[],3,FALSE),"")</f>
        <v>OI Brockway Glass</v>
      </c>
      <c r="F99" s="21" t="s">
        <v>201</v>
      </c>
      <c r="G99" s="30">
        <v>2</v>
      </c>
      <c r="H99" s="41" t="s">
        <v>47</v>
      </c>
      <c r="I99" s="40"/>
      <c r="J99" s="43">
        <v>642</v>
      </c>
      <c r="K99" s="30" cm="1">
        <f t="array" ref="K99">IFERROR(VLOOKUP(TimeLog[[#This Row],[Project No]],ProjectsList[],_xlfn.SWITCH(TimeLog[[#This Row],[Type]],"ST",5,"OT",6,"TT",7,"HD",8),FALSE),"")</f>
        <v>110</v>
      </c>
      <c r="L99" s="107">
        <f>IFERROR(TimeLog[[#This Row],[Rate]]*TimeLog[[#This Row],[Hours]],"")</f>
        <v>220</v>
      </c>
    </row>
    <row r="100" spans="2:12" ht="19.5" customHeight="1" x14ac:dyDescent="0.25">
      <c r="B100" s="27">
        <v>45785</v>
      </c>
      <c r="C100" s="28">
        <v>511</v>
      </c>
      <c r="D100" s="29" t="str">
        <f>IFERROR(VLOOKUP(TimeLog[[#This Row],[Project No]],ProjectsList[],2,FALSE),"")</f>
        <v>TRK Engineering Services, Inc.</v>
      </c>
      <c r="E100" s="29" t="str">
        <f>IFERROR(VLOOKUP(TimeLog[[#This Row],[Project No]],ProjectsList[],3,FALSE),"")</f>
        <v>IP - Riverdale, AL RB1 and RB2</v>
      </c>
      <c r="F100" s="21" t="s">
        <v>145</v>
      </c>
      <c r="G100" s="30">
        <v>10</v>
      </c>
      <c r="H100" s="41" t="s">
        <v>47</v>
      </c>
      <c r="I100" s="40"/>
      <c r="J100" s="43">
        <v>640</v>
      </c>
      <c r="K100" s="30" cm="1">
        <f t="array" ref="K100">IFERROR(VLOOKUP(TimeLog[[#This Row],[Project No]],ProjectsList[],_xlfn.SWITCH(TimeLog[[#This Row],[Type]],"ST",5,"OT",6,"TT",7,"HD",8),FALSE),"")</f>
        <v>110</v>
      </c>
      <c r="L100" s="107">
        <f>IFERROR(TimeLog[[#This Row],[Rate]]*TimeLog[[#This Row],[Hours]],"")</f>
        <v>1100</v>
      </c>
    </row>
    <row r="101" spans="2:12" ht="19.5" customHeight="1" x14ac:dyDescent="0.25">
      <c r="B101" s="27">
        <v>45785</v>
      </c>
      <c r="C101" s="28">
        <v>511</v>
      </c>
      <c r="D101" s="29" t="str">
        <f>IFERROR(VLOOKUP(TimeLog[[#This Row],[Project No]],ProjectsList[],2,FALSE),"")</f>
        <v>TRK Engineering Services, Inc.</v>
      </c>
      <c r="E101" s="29" t="str">
        <f>IFERROR(VLOOKUP(TimeLog[[#This Row],[Project No]],ProjectsList[],3,FALSE),"")</f>
        <v>IP - Riverdale, AL RB1 and RB2</v>
      </c>
      <c r="F101" s="21" t="s">
        <v>145</v>
      </c>
      <c r="G101" s="30">
        <v>2</v>
      </c>
      <c r="H101" s="41" t="s">
        <v>233</v>
      </c>
      <c r="I101" s="40"/>
      <c r="J101" s="43">
        <v>640</v>
      </c>
      <c r="K101" s="30" cm="1">
        <f t="array" ref="K101">IFERROR(VLOOKUP(TimeLog[[#This Row],[Project No]],ProjectsList[],_xlfn.SWITCH(TimeLog[[#This Row],[Type]],"ST",5,"OT",6,"TT",7,"HD",8),FALSE),"")</f>
        <v>165</v>
      </c>
      <c r="L101" s="107">
        <f>IFERROR(TimeLog[[#This Row],[Rate]]*TimeLog[[#This Row],[Hours]],"")</f>
        <v>330</v>
      </c>
    </row>
    <row r="102" spans="2:12" ht="19.5" customHeight="1" x14ac:dyDescent="0.25">
      <c r="B102" s="27">
        <v>45785</v>
      </c>
      <c r="C102" s="28">
        <v>510</v>
      </c>
      <c r="D102" s="29" t="str">
        <f>IFERROR(VLOOKUP(TimeLog[[#This Row],[Project No]],ProjectsList[],2,FALSE),"")</f>
        <v>TRK Engineering Services, Inc.</v>
      </c>
      <c r="E102" s="29" t="str">
        <f>IFERROR(VLOOKUP(TimeLog[[#This Row],[Project No]],ProjectsList[],3,FALSE),"")</f>
        <v>OI Brockway Glass</v>
      </c>
      <c r="F102" s="21" t="s">
        <v>201</v>
      </c>
      <c r="G102" s="30">
        <v>1</v>
      </c>
      <c r="H102" s="41" t="s">
        <v>47</v>
      </c>
      <c r="I102" s="40"/>
      <c r="J102" s="43">
        <v>642</v>
      </c>
      <c r="K102" s="30" cm="1">
        <f t="array" ref="K102">IFERROR(VLOOKUP(TimeLog[[#This Row],[Project No]],ProjectsList[],_xlfn.SWITCH(TimeLog[[#This Row],[Type]],"ST",5,"OT",6,"TT",7,"HD",8),FALSE),"")</f>
        <v>110</v>
      </c>
      <c r="L102" s="107">
        <f>IFERROR(TimeLog[[#This Row],[Rate]]*TimeLog[[#This Row],[Hours]],"")</f>
        <v>110</v>
      </c>
    </row>
    <row r="103" spans="2:12" ht="19.5" customHeight="1" x14ac:dyDescent="0.25">
      <c r="B103" s="27">
        <v>45786</v>
      </c>
      <c r="C103" s="28">
        <v>511</v>
      </c>
      <c r="D103" s="29" t="str">
        <f>IFERROR(VLOOKUP(TimeLog[[#This Row],[Project No]],ProjectsList[],2,FALSE),"")</f>
        <v>TRK Engineering Services, Inc.</v>
      </c>
      <c r="E103" s="29" t="str">
        <f>IFERROR(VLOOKUP(TimeLog[[#This Row],[Project No]],ProjectsList[],3,FALSE),"")</f>
        <v>IP - Riverdale, AL RB1 and RB2</v>
      </c>
      <c r="F103" s="21" t="s">
        <v>145</v>
      </c>
      <c r="G103" s="30">
        <v>10</v>
      </c>
      <c r="H103" s="41" t="s">
        <v>47</v>
      </c>
      <c r="I103" s="40"/>
      <c r="J103" s="43">
        <v>640</v>
      </c>
      <c r="K103" s="30" cm="1">
        <f t="array" ref="K103">IFERROR(VLOOKUP(TimeLog[[#This Row],[Project No]],ProjectsList[],_xlfn.SWITCH(TimeLog[[#This Row],[Type]],"ST",5,"OT",6,"TT",7,"HD",8),FALSE),"")</f>
        <v>110</v>
      </c>
      <c r="L103" s="107">
        <f>IFERROR(TimeLog[[#This Row],[Rate]]*TimeLog[[#This Row],[Hours]],"")</f>
        <v>1100</v>
      </c>
    </row>
    <row r="104" spans="2:12" ht="19.5" customHeight="1" x14ac:dyDescent="0.25">
      <c r="B104" s="27">
        <v>45786</v>
      </c>
      <c r="C104" s="28">
        <v>511</v>
      </c>
      <c r="D104" s="29" t="str">
        <f>IFERROR(VLOOKUP(TimeLog[[#This Row],[Project No]],ProjectsList[],2,FALSE),"")</f>
        <v>TRK Engineering Services, Inc.</v>
      </c>
      <c r="E104" s="29" t="str">
        <f>IFERROR(VLOOKUP(TimeLog[[#This Row],[Project No]],ProjectsList[],3,FALSE),"")</f>
        <v>IP - Riverdale, AL RB1 and RB2</v>
      </c>
      <c r="F104" s="21" t="s">
        <v>145</v>
      </c>
      <c r="G104" s="30">
        <v>2</v>
      </c>
      <c r="H104" s="41" t="s">
        <v>233</v>
      </c>
      <c r="I104" s="40"/>
      <c r="J104" s="43">
        <v>640</v>
      </c>
      <c r="K104" s="30" cm="1">
        <f t="array" ref="K104">IFERROR(VLOOKUP(TimeLog[[#This Row],[Project No]],ProjectsList[],_xlfn.SWITCH(TimeLog[[#This Row],[Type]],"ST",5,"OT",6,"TT",7,"HD",8),FALSE),"")</f>
        <v>165</v>
      </c>
      <c r="L104" s="107">
        <f>IFERROR(TimeLog[[#This Row],[Rate]]*TimeLog[[#This Row],[Hours]],"")</f>
        <v>330</v>
      </c>
    </row>
    <row r="105" spans="2:12" ht="19.5" customHeight="1" x14ac:dyDescent="0.25">
      <c r="B105" s="27">
        <v>45786</v>
      </c>
      <c r="C105" s="28">
        <v>510</v>
      </c>
      <c r="D105" s="29" t="str">
        <f>IFERROR(VLOOKUP(TimeLog[[#This Row],[Project No]],ProjectsList[],2,FALSE),"")</f>
        <v>TRK Engineering Services, Inc.</v>
      </c>
      <c r="E105" s="29" t="str">
        <f>IFERROR(VLOOKUP(TimeLog[[#This Row],[Project No]],ProjectsList[],3,FALSE),"")</f>
        <v>OI Brockway Glass</v>
      </c>
      <c r="F105" s="21" t="s">
        <v>201</v>
      </c>
      <c r="G105" s="30">
        <v>1</v>
      </c>
      <c r="H105" s="41" t="s">
        <v>233</v>
      </c>
      <c r="I105" s="40"/>
      <c r="J105" s="43">
        <v>642</v>
      </c>
      <c r="K105" s="30" cm="1">
        <f t="array" ref="K105">IFERROR(VLOOKUP(TimeLog[[#This Row],[Project No]],ProjectsList[],_xlfn.SWITCH(TimeLog[[#This Row],[Type]],"ST",5,"OT",6,"TT",7,"HD",8),FALSE),"")</f>
        <v>165</v>
      </c>
      <c r="L105" s="107">
        <f>IFERROR(TimeLog[[#This Row],[Rate]]*TimeLog[[#This Row],[Hours]],"")</f>
        <v>165</v>
      </c>
    </row>
    <row r="106" spans="2:12" ht="19.5" customHeight="1" x14ac:dyDescent="0.25">
      <c r="B106" s="27">
        <v>45787</v>
      </c>
      <c r="C106" s="28">
        <v>511</v>
      </c>
      <c r="D106" s="29" t="str">
        <f>IFERROR(VLOOKUP(TimeLog[[#This Row],[Project No]],ProjectsList[],2,FALSE),"")</f>
        <v>TRK Engineering Services, Inc.</v>
      </c>
      <c r="E106" s="29" t="str">
        <f>IFERROR(VLOOKUP(TimeLog[[#This Row],[Project No]],ProjectsList[],3,FALSE),"")</f>
        <v>IP - Riverdale, AL RB1 and RB2</v>
      </c>
      <c r="F106" s="21" t="s">
        <v>145</v>
      </c>
      <c r="G106" s="30">
        <v>12</v>
      </c>
      <c r="H106" s="41" t="s">
        <v>233</v>
      </c>
      <c r="I106" s="40"/>
      <c r="J106" s="43">
        <v>640</v>
      </c>
      <c r="K106" s="30" cm="1">
        <f t="array" ref="K106">IFERROR(VLOOKUP(TimeLog[[#This Row],[Project No]],ProjectsList[],_xlfn.SWITCH(TimeLog[[#This Row],[Type]],"ST",5,"OT",6,"TT",7,"HD",8),FALSE),"")</f>
        <v>165</v>
      </c>
      <c r="L106" s="107">
        <f>IFERROR(TimeLog[[#This Row],[Rate]]*TimeLog[[#This Row],[Hours]],"")</f>
        <v>1980</v>
      </c>
    </row>
    <row r="107" spans="2:12" ht="19.5" customHeight="1" x14ac:dyDescent="0.25">
      <c r="B107" s="27">
        <v>45788</v>
      </c>
      <c r="C107" s="28">
        <v>511</v>
      </c>
      <c r="D107" s="29" t="str">
        <f>IFERROR(VLOOKUP(TimeLog[[#This Row],[Project No]],ProjectsList[],2,FALSE),"")</f>
        <v>TRK Engineering Services, Inc.</v>
      </c>
      <c r="E107" s="29" t="str">
        <f>IFERROR(VLOOKUP(TimeLog[[#This Row],[Project No]],ProjectsList[],3,FALSE),"")</f>
        <v>IP - Riverdale, AL RB1 and RB2</v>
      </c>
      <c r="F107" s="21" t="s">
        <v>145</v>
      </c>
      <c r="G107" s="30">
        <v>12</v>
      </c>
      <c r="H107" s="41" t="s">
        <v>233</v>
      </c>
      <c r="I107" s="40"/>
      <c r="J107" s="43">
        <v>640</v>
      </c>
      <c r="K107" s="30" cm="1">
        <f t="array" ref="K107">IFERROR(VLOOKUP(TimeLog[[#This Row],[Project No]],ProjectsList[],_xlfn.SWITCH(TimeLog[[#This Row],[Type]],"ST",5,"OT",6,"TT",7,"HD",8),FALSE),"")</f>
        <v>165</v>
      </c>
      <c r="L107" s="107">
        <f>IFERROR(TimeLog[[#This Row],[Rate]]*TimeLog[[#This Row],[Hours]],"")</f>
        <v>1980</v>
      </c>
    </row>
    <row r="108" spans="2:12" ht="19.5" customHeight="1" x14ac:dyDescent="0.25">
      <c r="B108" s="27">
        <v>45789</v>
      </c>
      <c r="C108" s="28">
        <v>511</v>
      </c>
      <c r="D108" s="29" t="str">
        <f>IFERROR(VLOOKUP(TimeLog[[#This Row],[Project No]],ProjectsList[],2,FALSE),"")</f>
        <v>TRK Engineering Services, Inc.</v>
      </c>
      <c r="E108" s="29" t="str">
        <f>IFERROR(VLOOKUP(TimeLog[[#This Row],[Project No]],ProjectsList[],3,FALSE),"")</f>
        <v>IP - Riverdale, AL RB1 and RB2</v>
      </c>
      <c r="F108" s="21" t="s">
        <v>145</v>
      </c>
      <c r="G108" s="30">
        <v>8</v>
      </c>
      <c r="H108" s="41" t="s">
        <v>47</v>
      </c>
      <c r="I108" s="40"/>
      <c r="J108" s="43">
        <v>640</v>
      </c>
      <c r="K108" s="30" cm="1">
        <f t="array" ref="K108">IFERROR(VLOOKUP(TimeLog[[#This Row],[Project No]],ProjectsList[],_xlfn.SWITCH(TimeLog[[#This Row],[Type]],"ST",5,"OT",6,"TT",7,"HD",8),FALSE),"")</f>
        <v>110</v>
      </c>
      <c r="L108" s="107">
        <f>IFERROR(TimeLog[[#This Row],[Rate]]*TimeLog[[#This Row],[Hours]],"")</f>
        <v>880</v>
      </c>
    </row>
    <row r="109" spans="2:12" ht="19.5" customHeight="1" x14ac:dyDescent="0.25">
      <c r="B109" s="27">
        <v>45790</v>
      </c>
      <c r="C109" s="28">
        <v>511</v>
      </c>
      <c r="D109" s="29" t="str">
        <f>IFERROR(VLOOKUP(TimeLog[[#This Row],[Project No]],ProjectsList[],2,FALSE),"")</f>
        <v>TRK Engineering Services, Inc.</v>
      </c>
      <c r="E109" s="29" t="str">
        <f>IFERROR(VLOOKUP(TimeLog[[#This Row],[Project No]],ProjectsList[],3,FALSE),"")</f>
        <v>IP - Riverdale, AL RB1 and RB2</v>
      </c>
      <c r="F109" s="21" t="s">
        <v>229</v>
      </c>
      <c r="G109" s="30">
        <v>3</v>
      </c>
      <c r="H109" s="41" t="s">
        <v>48</v>
      </c>
      <c r="I109" s="40"/>
      <c r="J109" s="43">
        <v>640</v>
      </c>
      <c r="K109" s="30" cm="1">
        <f t="array" ref="K109">IFERROR(VLOOKUP(TimeLog[[#This Row],[Project No]],ProjectsList[],_xlfn.SWITCH(TimeLog[[#This Row],[Type]],"ST",5,"OT",6,"TT",7,"HD",8),FALSE),"")</f>
        <v>55</v>
      </c>
      <c r="L109" s="107">
        <f>IFERROR(TimeLog[[#This Row],[Rate]]*TimeLog[[#This Row],[Hours]],"")</f>
        <v>165</v>
      </c>
    </row>
    <row r="110" spans="2:12" ht="19.5" customHeight="1" x14ac:dyDescent="0.25">
      <c r="B110" s="27">
        <v>45790</v>
      </c>
      <c r="C110" s="28">
        <v>506</v>
      </c>
      <c r="D110" s="29" t="str">
        <f>IFERROR(VLOOKUP(TimeLog[[#This Row],[Project No]],ProjectsList[],2,FALSE),"")</f>
        <v>TRK Engineering Services, Inc.</v>
      </c>
      <c r="E110" s="29" t="str">
        <f>IFERROR(VLOOKUP(TimeLog[[#This Row],[Project No]],ProjectsList[],3,FALSE),"")</f>
        <v>Suncor Weekly Meetings</v>
      </c>
      <c r="F110" s="21" t="s">
        <v>68</v>
      </c>
      <c r="G110" s="30">
        <v>1</v>
      </c>
      <c r="H110" s="41" t="s">
        <v>47</v>
      </c>
      <c r="I110" s="40"/>
      <c r="J110" s="43">
        <v>643</v>
      </c>
      <c r="K110" s="30" cm="1">
        <f t="array" ref="K110">IFERROR(VLOOKUP(TimeLog[[#This Row],[Project No]],ProjectsList[],_xlfn.SWITCH(TimeLog[[#This Row],[Type]],"ST",5,"OT",6,"TT",7,"HD",8),FALSE),"")</f>
        <v>110</v>
      </c>
      <c r="L110" s="107">
        <f>IFERROR(TimeLog[[#This Row],[Rate]]*TimeLog[[#This Row],[Hours]],"")</f>
        <v>110</v>
      </c>
    </row>
    <row r="111" spans="2:12" ht="19.5" customHeight="1" x14ac:dyDescent="0.25">
      <c r="B111" s="27">
        <v>45791</v>
      </c>
      <c r="C111" s="28">
        <v>510</v>
      </c>
      <c r="D111" s="29" t="str">
        <f>IFERROR(VLOOKUP(TimeLog[[#This Row],[Project No]],ProjectsList[],2,FALSE),"")</f>
        <v>TRK Engineering Services, Inc.</v>
      </c>
      <c r="E111" s="29" t="str">
        <f>IFERROR(VLOOKUP(TimeLog[[#This Row],[Project No]],ProjectsList[],3,FALSE),"")</f>
        <v>OI Brockway Glass</v>
      </c>
      <c r="F111" s="21" t="s">
        <v>201</v>
      </c>
      <c r="G111" s="30">
        <v>2</v>
      </c>
      <c r="H111" s="41" t="s">
        <v>47</v>
      </c>
      <c r="I111" s="40"/>
      <c r="J111" s="43">
        <v>642</v>
      </c>
      <c r="K111" s="30" cm="1">
        <f t="array" ref="K111">IFERROR(VLOOKUP(TimeLog[[#This Row],[Project No]],ProjectsList[],_xlfn.SWITCH(TimeLog[[#This Row],[Type]],"ST",5,"OT",6,"TT",7,"HD",8),FALSE),"")</f>
        <v>110</v>
      </c>
      <c r="L111" s="107">
        <f>IFERROR(TimeLog[[#This Row],[Rate]]*TimeLog[[#This Row],[Hours]],"")</f>
        <v>220</v>
      </c>
    </row>
    <row r="112" spans="2:12" ht="19.5" customHeight="1" x14ac:dyDescent="0.25">
      <c r="B112" s="27">
        <v>45796</v>
      </c>
      <c r="C112" s="28">
        <v>513</v>
      </c>
      <c r="D112" s="29" t="str">
        <f>IFERROR(VLOOKUP(TimeLog[[#This Row],[Project No]],ProjectsList[],2,FALSE),"")</f>
        <v>TRK Engineering Services, Inc.</v>
      </c>
      <c r="E112" s="29" t="str">
        <f>IFERROR(VLOOKUP(TimeLog[[#This Row],[Project No]],ProjectsList[],3,FALSE),"")</f>
        <v>Rio Tinto FS &amp; FC ESP</v>
      </c>
      <c r="F112" s="21" t="s">
        <v>68</v>
      </c>
      <c r="G112" s="30">
        <v>1</v>
      </c>
      <c r="H112" s="41" t="s">
        <v>47</v>
      </c>
      <c r="I112" s="40"/>
      <c r="J112" s="43">
        <v>646</v>
      </c>
      <c r="K112" s="30" cm="1">
        <f t="array" ref="K112">IFERROR(VLOOKUP(TimeLog[[#This Row],[Project No]],ProjectsList[],_xlfn.SWITCH(TimeLog[[#This Row],[Type]],"ST",5,"OT",6,"TT",7,"HD",8),FALSE),"")</f>
        <v>110</v>
      </c>
      <c r="L112" s="107">
        <f>IFERROR(TimeLog[[#This Row],[Rate]]*TimeLog[[#This Row],[Hours]],"")</f>
        <v>110</v>
      </c>
    </row>
    <row r="113" spans="2:12" ht="19.5" customHeight="1" x14ac:dyDescent="0.25">
      <c r="B113" s="27">
        <v>45797</v>
      </c>
      <c r="C113" s="28">
        <v>506</v>
      </c>
      <c r="D113" s="29" t="str">
        <f>IFERROR(VLOOKUP(TimeLog[[#This Row],[Project No]],ProjectsList[],2,FALSE),"")</f>
        <v>TRK Engineering Services, Inc.</v>
      </c>
      <c r="E113" s="29" t="str">
        <f>IFERROR(VLOOKUP(TimeLog[[#This Row],[Project No]],ProjectsList[],3,FALSE),"")</f>
        <v>Suncor Weekly Meetings</v>
      </c>
      <c r="F113" s="21" t="s">
        <v>68</v>
      </c>
      <c r="G113" s="30">
        <v>1</v>
      </c>
      <c r="H113" s="41" t="s">
        <v>47</v>
      </c>
      <c r="I113" s="40"/>
      <c r="J113" s="43">
        <v>643</v>
      </c>
      <c r="K113" s="30" cm="1">
        <f t="array" ref="K113">IFERROR(VLOOKUP(TimeLog[[#This Row],[Project No]],ProjectsList[],_xlfn.SWITCH(TimeLog[[#This Row],[Type]],"ST",5,"OT",6,"TT",7,"HD",8),FALSE),"")</f>
        <v>110</v>
      </c>
      <c r="L113" s="107">
        <f>IFERROR(TimeLog[[#This Row],[Rate]]*TimeLog[[#This Row],[Hours]],"")</f>
        <v>110</v>
      </c>
    </row>
    <row r="114" spans="2:12" ht="19.5" customHeight="1" x14ac:dyDescent="0.25">
      <c r="B114" s="27">
        <v>45800</v>
      </c>
      <c r="C114" s="28">
        <v>507</v>
      </c>
      <c r="D114" s="29" t="str">
        <f>IFERROR(VLOOKUP(TimeLog[[#This Row],[Project No]],ProjectsList[],2,FALSE),"")</f>
        <v>TRK Engineering Services, Inc.</v>
      </c>
      <c r="E114" s="29" t="str">
        <f>IFERROR(VLOOKUP(TimeLog[[#This Row],[Project No]],ProjectsList[],3,FALSE),"")</f>
        <v>Suncor Extra Engineering</v>
      </c>
      <c r="F114" s="21" t="s">
        <v>222</v>
      </c>
      <c r="G114" s="30">
        <v>3</v>
      </c>
      <c r="H114" s="41" t="s">
        <v>47</v>
      </c>
      <c r="I114" s="40"/>
      <c r="J114" s="43">
        <v>644</v>
      </c>
      <c r="K114" s="30" cm="1">
        <f t="array" ref="K114">IFERROR(VLOOKUP(TimeLog[[#This Row],[Project No]],ProjectsList[],_xlfn.SWITCH(TimeLog[[#This Row],[Type]],"ST",5,"OT",6,"TT",7,"HD",8),FALSE),"")</f>
        <v>110</v>
      </c>
      <c r="L114" s="107">
        <f>IFERROR(TimeLog[[#This Row],[Rate]]*TimeLog[[#This Row],[Hours]],"")</f>
        <v>330</v>
      </c>
    </row>
    <row r="115" spans="2:12" ht="19.5" customHeight="1" x14ac:dyDescent="0.25">
      <c r="B115" s="27">
        <v>45804</v>
      </c>
      <c r="C115" s="28">
        <v>506</v>
      </c>
      <c r="D115" s="29" t="str">
        <f>IFERROR(VLOOKUP(TimeLog[[#This Row],[Project No]],ProjectsList[],2,FALSE),"")</f>
        <v>TRK Engineering Services, Inc.</v>
      </c>
      <c r="E115" s="29" t="str">
        <f>IFERROR(VLOOKUP(TimeLog[[#This Row],[Project No]],ProjectsList[],3,FALSE),"")</f>
        <v>Suncor Weekly Meetings</v>
      </c>
      <c r="F115" s="21" t="s">
        <v>68</v>
      </c>
      <c r="G115" s="30">
        <v>1</v>
      </c>
      <c r="H115" s="41" t="s">
        <v>47</v>
      </c>
      <c r="I115" s="40"/>
      <c r="J115" s="43">
        <v>643</v>
      </c>
      <c r="K115" s="30" cm="1">
        <f t="array" ref="K115">IFERROR(VLOOKUP(TimeLog[[#This Row],[Project No]],ProjectsList[],_xlfn.SWITCH(TimeLog[[#This Row],[Type]],"ST",5,"OT",6,"TT",7,"HD",8),FALSE),"")</f>
        <v>110</v>
      </c>
      <c r="L115" s="107">
        <f>IFERROR(TimeLog[[#This Row],[Rate]]*TimeLog[[#This Row],[Hours]],"")</f>
        <v>110</v>
      </c>
    </row>
    <row r="116" spans="2:12" ht="19.5" customHeight="1" x14ac:dyDescent="0.25">
      <c r="B116" s="27">
        <v>45807</v>
      </c>
      <c r="C116" s="28">
        <v>507</v>
      </c>
      <c r="D116" s="29" t="str">
        <f>IFERROR(VLOOKUP(TimeLog[[#This Row],[Project No]],ProjectsList[],2,FALSE),"")</f>
        <v>TRK Engineering Services, Inc.</v>
      </c>
      <c r="E116" s="29" t="str">
        <f>IFERROR(VLOOKUP(TimeLog[[#This Row],[Project No]],ProjectsList[],3,FALSE),"")</f>
        <v>Suncor Extra Engineering</v>
      </c>
      <c r="F116" s="21" t="s">
        <v>235</v>
      </c>
      <c r="G116" s="30">
        <v>3</v>
      </c>
      <c r="H116" s="41" t="s">
        <v>47</v>
      </c>
      <c r="I116" s="40"/>
      <c r="J116" s="43">
        <v>644</v>
      </c>
      <c r="K116" s="30" cm="1">
        <f t="array" ref="K116">IFERROR(VLOOKUP(TimeLog[[#This Row],[Project No]],ProjectsList[],_xlfn.SWITCH(TimeLog[[#This Row],[Type]],"ST",5,"OT",6,"TT",7,"HD",8),FALSE),"")</f>
        <v>110</v>
      </c>
      <c r="L116" s="107">
        <f>IFERROR(TimeLog[[#This Row],[Rate]]*TimeLog[[#This Row],[Hours]],"")</f>
        <v>330</v>
      </c>
    </row>
    <row r="117" spans="2:12" ht="19.5" customHeight="1" x14ac:dyDescent="0.25">
      <c r="B117" s="27">
        <v>45809</v>
      </c>
      <c r="C117" s="28">
        <v>514</v>
      </c>
      <c r="D117" s="29" t="str">
        <f>IFERROR(VLOOKUP(TimeLog[[#This Row],[Project No]],ProjectsList[],2,FALSE),"")</f>
        <v>TRK Engineering Services, Inc.</v>
      </c>
      <c r="E117" s="29" t="str">
        <f>IFERROR(VLOOKUP(TimeLog[[#This Row],[Project No]],ProjectsList[],3,FALSE),"")</f>
        <v>Help with Envision</v>
      </c>
      <c r="F117" s="21" t="s">
        <v>237</v>
      </c>
      <c r="G117" s="30">
        <v>2</v>
      </c>
      <c r="H117" s="41" t="s">
        <v>47</v>
      </c>
      <c r="I117" s="40"/>
      <c r="J117" s="43">
        <v>648</v>
      </c>
      <c r="K117" s="30" cm="1">
        <f t="array" ref="K117">IFERROR(VLOOKUP(TimeLog[[#This Row],[Project No]],ProjectsList[],_xlfn.SWITCH(TimeLog[[#This Row],[Type]],"ST",5,"OT",6,"TT",7,"HD",8),FALSE),"")</f>
        <v>110</v>
      </c>
      <c r="L117" s="107">
        <f>IFERROR(TimeLog[[#This Row],[Rate]]*TimeLog[[#This Row],[Hours]],"")</f>
        <v>220</v>
      </c>
    </row>
    <row r="118" spans="2:12" ht="19.5" customHeight="1" x14ac:dyDescent="0.25">
      <c r="B118" s="27">
        <v>45811</v>
      </c>
      <c r="C118" s="28">
        <v>506</v>
      </c>
      <c r="D118" s="29" t="str">
        <f>IFERROR(VLOOKUP(TimeLog[[#This Row],[Project No]],ProjectsList[],2,FALSE),"")</f>
        <v>TRK Engineering Services, Inc.</v>
      </c>
      <c r="E118" s="29" t="str">
        <f>IFERROR(VLOOKUP(TimeLog[[#This Row],[Project No]],ProjectsList[],3,FALSE),"")</f>
        <v>Suncor Weekly Meetings</v>
      </c>
      <c r="F118" s="21" t="s">
        <v>68</v>
      </c>
      <c r="G118" s="30">
        <v>1</v>
      </c>
      <c r="H118" s="41" t="s">
        <v>47</v>
      </c>
      <c r="I118" s="40"/>
      <c r="J118" s="43">
        <v>643</v>
      </c>
      <c r="K118" s="30" cm="1">
        <f t="array" ref="K118">IFERROR(VLOOKUP(TimeLog[[#This Row],[Project No]],ProjectsList[],_xlfn.SWITCH(TimeLog[[#This Row],[Type]],"ST",5,"OT",6,"TT",7,"HD",8),FALSE),"")</f>
        <v>110</v>
      </c>
      <c r="L118" s="107">
        <f>IFERROR(TimeLog[[#This Row],[Rate]]*TimeLog[[#This Row],[Hours]],"")</f>
        <v>110</v>
      </c>
    </row>
    <row r="119" spans="2:12" ht="19.5" customHeight="1" x14ac:dyDescent="0.25">
      <c r="B119" s="27">
        <v>45812</v>
      </c>
      <c r="C119" s="28">
        <v>514</v>
      </c>
      <c r="D119" s="29" t="str">
        <f>IFERROR(VLOOKUP(TimeLog[[#This Row],[Project No]],ProjectsList[],2,FALSE),"")</f>
        <v>TRK Engineering Services, Inc.</v>
      </c>
      <c r="E119" s="29" t="str">
        <f>IFERROR(VLOOKUP(TimeLog[[#This Row],[Project No]],ProjectsList[],3,FALSE),"")</f>
        <v>Help with Envision</v>
      </c>
      <c r="F119" s="21" t="s">
        <v>147</v>
      </c>
      <c r="G119" s="30">
        <v>1</v>
      </c>
      <c r="H119" s="41" t="s">
        <v>47</v>
      </c>
      <c r="I119" s="40"/>
      <c r="J119" s="43">
        <v>648</v>
      </c>
      <c r="K119" s="30" cm="1">
        <f t="array" ref="K119">IFERROR(VLOOKUP(TimeLog[[#This Row],[Project No]],ProjectsList[],_xlfn.SWITCH(TimeLog[[#This Row],[Type]],"ST",5,"OT",6,"TT",7,"HD",8),FALSE),"")</f>
        <v>110</v>
      </c>
      <c r="L119" s="107">
        <f>IFERROR(TimeLog[[#This Row],[Rate]]*TimeLog[[#This Row],[Hours]],"")</f>
        <v>110</v>
      </c>
    </row>
    <row r="120" spans="2:12" ht="19.5" customHeight="1" x14ac:dyDescent="0.25">
      <c r="B120" s="27">
        <v>45812</v>
      </c>
      <c r="C120" s="28">
        <v>506</v>
      </c>
      <c r="D120" s="29" t="str">
        <f>IFERROR(VLOOKUP(TimeLog[[#This Row],[Project No]],ProjectsList[],2,FALSE),"")</f>
        <v>TRK Engineering Services, Inc.</v>
      </c>
      <c r="E120" s="29" t="str">
        <f>IFERROR(VLOOKUP(TimeLog[[#This Row],[Project No]],ProjectsList[],3,FALSE),"")</f>
        <v>Suncor Weekly Meetings</v>
      </c>
      <c r="F120" s="21" t="s">
        <v>235</v>
      </c>
      <c r="G120" s="30">
        <v>2</v>
      </c>
      <c r="H120" s="41" t="s">
        <v>47</v>
      </c>
      <c r="I120" s="40"/>
      <c r="J120" s="43">
        <v>643</v>
      </c>
      <c r="K120" s="30" cm="1">
        <f t="array" ref="K120">IFERROR(VLOOKUP(TimeLog[[#This Row],[Project No]],ProjectsList[],_xlfn.SWITCH(TimeLog[[#This Row],[Type]],"ST",5,"OT",6,"TT",7,"HD",8),FALSE),"")</f>
        <v>110</v>
      </c>
      <c r="L120" s="107">
        <f>IFERROR(TimeLog[[#This Row],[Rate]]*TimeLog[[#This Row],[Hours]],"")</f>
        <v>220</v>
      </c>
    </row>
    <row r="121" spans="2:12" ht="19.5" customHeight="1" x14ac:dyDescent="0.25">
      <c r="B121" s="27">
        <v>45818</v>
      </c>
      <c r="C121" s="28">
        <v>506</v>
      </c>
      <c r="D121" s="29" t="str">
        <f>IFERROR(VLOOKUP(TimeLog[[#This Row],[Project No]],ProjectsList[],2,FALSE),"")</f>
        <v>TRK Engineering Services, Inc.</v>
      </c>
      <c r="E121" s="29" t="str">
        <f>IFERROR(VLOOKUP(TimeLog[[#This Row],[Project No]],ProjectsList[],3,FALSE),"")</f>
        <v>Suncor Weekly Meetings</v>
      </c>
      <c r="F121" s="21" t="s">
        <v>68</v>
      </c>
      <c r="G121" s="30">
        <v>1</v>
      </c>
      <c r="H121" s="41" t="s">
        <v>47</v>
      </c>
      <c r="I121" s="40"/>
      <c r="J121" s="43">
        <v>643</v>
      </c>
      <c r="K121" s="30" cm="1">
        <f t="array" ref="K121">IFERROR(VLOOKUP(TimeLog[[#This Row],[Project No]],ProjectsList[],_xlfn.SWITCH(TimeLog[[#This Row],[Type]],"ST",5,"OT",6,"TT",7,"HD",8),FALSE),"")</f>
        <v>110</v>
      </c>
      <c r="L121" s="107">
        <f>IFERROR(TimeLog[[#This Row],[Rate]]*TimeLog[[#This Row],[Hours]],"")</f>
        <v>110</v>
      </c>
    </row>
    <row r="122" spans="2:12" ht="19.5" customHeight="1" x14ac:dyDescent="0.25">
      <c r="B122" s="27">
        <v>45819</v>
      </c>
      <c r="C122" s="28">
        <v>507</v>
      </c>
      <c r="D122" s="29" t="str">
        <f>IFERROR(VLOOKUP(TimeLog[[#This Row],[Project No]],ProjectsList[],2,FALSE),"")</f>
        <v>TRK Engineering Services, Inc.</v>
      </c>
      <c r="E122" s="29" t="str">
        <f>IFERROR(VLOOKUP(TimeLog[[#This Row],[Project No]],ProjectsList[],3,FALSE),"")</f>
        <v>Suncor Extra Engineering</v>
      </c>
      <c r="F122" s="21" t="s">
        <v>238</v>
      </c>
      <c r="G122" s="30">
        <v>2</v>
      </c>
      <c r="H122" s="41" t="s">
        <v>47</v>
      </c>
      <c r="I122" s="40"/>
      <c r="J122" s="43">
        <v>644</v>
      </c>
      <c r="K122" s="30" cm="1">
        <f t="array" ref="K122">IFERROR(VLOOKUP(TimeLog[[#This Row],[Project No]],ProjectsList[],_xlfn.SWITCH(TimeLog[[#This Row],[Type]],"ST",5,"OT",6,"TT",7,"HD",8),FALSE),"")</f>
        <v>110</v>
      </c>
      <c r="L122" s="107">
        <f>IFERROR(TimeLog[[#This Row],[Rate]]*TimeLog[[#This Row],[Hours]],"")</f>
        <v>220</v>
      </c>
    </row>
    <row r="123" spans="2:12" ht="19.5" customHeight="1" x14ac:dyDescent="0.25">
      <c r="B123" s="27">
        <v>45820</v>
      </c>
      <c r="C123" s="28">
        <v>502</v>
      </c>
      <c r="D123" s="29" t="str">
        <f>IFERROR(VLOOKUP(TimeLog[[#This Row],[Project No]],ProjectsList[],2,FALSE),"")</f>
        <v>TRK Engineering Services, Inc.</v>
      </c>
      <c r="E123" s="29" t="str">
        <f>IFERROR(VLOOKUP(TimeLog[[#This Row],[Project No]],ProjectsList[],3,FALSE),"")</f>
        <v>MMSD Outlet Duct - Model Study</v>
      </c>
      <c r="F123" s="21" t="s">
        <v>68</v>
      </c>
      <c r="G123" s="30">
        <v>1</v>
      </c>
      <c r="H123" s="41" t="s">
        <v>47</v>
      </c>
      <c r="I123" s="40"/>
      <c r="J123" s="43">
        <v>641</v>
      </c>
      <c r="K123" s="30" cm="1">
        <f t="array" ref="K123">IFERROR(VLOOKUP(TimeLog[[#This Row],[Project No]],ProjectsList[],_xlfn.SWITCH(TimeLog[[#This Row],[Type]],"ST",5,"OT",6,"TT",7,"HD",8),FALSE),"")</f>
        <v>110</v>
      </c>
      <c r="L123" s="107">
        <f>IFERROR(TimeLog[[#This Row],[Rate]]*TimeLog[[#This Row],[Hours]],"")</f>
        <v>110</v>
      </c>
    </row>
    <row r="124" spans="2:12" ht="19.5" customHeight="1" x14ac:dyDescent="0.25">
      <c r="B124" s="27">
        <v>45825</v>
      </c>
      <c r="C124" s="28">
        <v>506</v>
      </c>
      <c r="D124" s="29" t="str">
        <f>IFERROR(VLOOKUP(TimeLog[[#This Row],[Project No]],ProjectsList[],2,FALSE),"")</f>
        <v>TRK Engineering Services, Inc.</v>
      </c>
      <c r="E124" s="29" t="str">
        <f>IFERROR(VLOOKUP(TimeLog[[#This Row],[Project No]],ProjectsList[],3,FALSE),"")</f>
        <v>Suncor Weekly Meetings</v>
      </c>
      <c r="F124" s="21" t="s">
        <v>68</v>
      </c>
      <c r="G124" s="30">
        <v>1</v>
      </c>
      <c r="H124" s="41" t="s">
        <v>47</v>
      </c>
      <c r="I124" s="40"/>
      <c r="J124" s="43">
        <v>643</v>
      </c>
      <c r="K124" s="30" cm="1">
        <f t="array" ref="K124">IFERROR(VLOOKUP(TimeLog[[#This Row],[Project No]],ProjectsList[],_xlfn.SWITCH(TimeLog[[#This Row],[Type]],"ST",5,"OT",6,"TT",7,"HD",8),FALSE),"")</f>
        <v>110</v>
      </c>
      <c r="L124" s="107">
        <f>IFERROR(TimeLog[[#This Row],[Rate]]*TimeLog[[#This Row],[Hours]],"")</f>
        <v>110</v>
      </c>
    </row>
    <row r="125" spans="2:12" ht="19.5" customHeight="1" x14ac:dyDescent="0.25">
      <c r="B125" s="27">
        <v>45825</v>
      </c>
      <c r="C125" s="28">
        <v>511</v>
      </c>
      <c r="D125" s="29" t="str">
        <f>IFERROR(VLOOKUP(TimeLog[[#This Row],[Project No]],ProjectsList[],2,FALSE),"")</f>
        <v>TRK Engineering Services, Inc.</v>
      </c>
      <c r="E125" s="29" t="str">
        <f>IFERROR(VLOOKUP(TimeLog[[#This Row],[Project No]],ProjectsList[],3,FALSE),"")</f>
        <v>IP - Riverdale, AL RB1 and RB2</v>
      </c>
      <c r="F125" s="21" t="s">
        <v>201</v>
      </c>
      <c r="G125" s="30">
        <v>6</v>
      </c>
      <c r="H125" s="41" t="s">
        <v>47</v>
      </c>
      <c r="I125" s="40"/>
      <c r="J125" s="43">
        <v>640</v>
      </c>
      <c r="K125" s="30" cm="1">
        <f t="array" ref="K125">IFERROR(VLOOKUP(TimeLog[[#This Row],[Project No]],ProjectsList[],_xlfn.SWITCH(TimeLog[[#This Row],[Type]],"ST",5,"OT",6,"TT",7,"HD",8),FALSE),"")</f>
        <v>110</v>
      </c>
      <c r="L125" s="107">
        <f>IFERROR(TimeLog[[#This Row],[Rate]]*TimeLog[[#This Row],[Hours]],"")</f>
        <v>660</v>
      </c>
    </row>
    <row r="126" spans="2:12" ht="19.5" customHeight="1" x14ac:dyDescent="0.25">
      <c r="B126" s="27">
        <v>45824</v>
      </c>
      <c r="C126" s="28">
        <v>502</v>
      </c>
      <c r="D126" s="29" t="str">
        <f>IFERROR(VLOOKUP(TimeLog[[#This Row],[Project No]],ProjectsList[],2,FALSE),"")</f>
        <v>TRK Engineering Services, Inc.</v>
      </c>
      <c r="E126" s="29" t="str">
        <f>IFERROR(VLOOKUP(TimeLog[[#This Row],[Project No]],ProjectsList[],3,FALSE),"")</f>
        <v>MMSD Outlet Duct - Model Study</v>
      </c>
      <c r="F126" s="21" t="s">
        <v>250</v>
      </c>
      <c r="G126" s="30">
        <v>3</v>
      </c>
      <c r="H126" s="41" t="s">
        <v>47</v>
      </c>
      <c r="I126" s="40"/>
      <c r="J126" s="43">
        <v>641</v>
      </c>
      <c r="K126" s="30" cm="1">
        <f t="array" ref="K126">IFERROR(VLOOKUP(TimeLog[[#This Row],[Project No]],ProjectsList[],_xlfn.SWITCH(TimeLog[[#This Row],[Type]],"ST",5,"OT",6,"TT",7,"HD",8),FALSE),"")</f>
        <v>110</v>
      </c>
      <c r="L126" s="107">
        <f>IFERROR(TimeLog[[#This Row],[Rate]]*TimeLog[[#This Row],[Hours]],"")</f>
        <v>330</v>
      </c>
    </row>
    <row r="127" spans="2:12" ht="19.5" customHeight="1" x14ac:dyDescent="0.25">
      <c r="B127" s="27">
        <v>45826</v>
      </c>
      <c r="C127" s="28">
        <v>502</v>
      </c>
      <c r="D127" s="29" t="str">
        <f>IFERROR(VLOOKUP(TimeLog[[#This Row],[Project No]],ProjectsList[],2,FALSE),"")</f>
        <v>TRK Engineering Services, Inc.</v>
      </c>
      <c r="E127" s="29" t="str">
        <f>IFERROR(VLOOKUP(TimeLog[[#This Row],[Project No]],ProjectsList[],3,FALSE),"")</f>
        <v>MMSD Outlet Duct - Model Study</v>
      </c>
      <c r="F127" s="21" t="s">
        <v>250</v>
      </c>
      <c r="G127" s="30">
        <v>6</v>
      </c>
      <c r="H127" s="41" t="s">
        <v>47</v>
      </c>
      <c r="I127" s="40"/>
      <c r="J127" s="43">
        <v>641</v>
      </c>
      <c r="K127" s="30" cm="1">
        <f t="array" ref="K127">IFERROR(VLOOKUP(TimeLog[[#This Row],[Project No]],ProjectsList[],_xlfn.SWITCH(TimeLog[[#This Row],[Type]],"ST",5,"OT",6,"TT",7,"HD",8),FALSE),"")</f>
        <v>110</v>
      </c>
      <c r="L127" s="107">
        <f>IFERROR(TimeLog[[#This Row],[Rate]]*TimeLog[[#This Row],[Hours]],"")</f>
        <v>660</v>
      </c>
    </row>
    <row r="128" spans="2:12" ht="19.5" customHeight="1" x14ac:dyDescent="0.25">
      <c r="B128" s="27">
        <v>45846</v>
      </c>
      <c r="C128" s="28">
        <v>515</v>
      </c>
      <c r="D128" s="29" t="str">
        <f>IFERROR(VLOOKUP(TimeLog[[#This Row],[Project No]],ProjectsList[],2,FALSE),"")</f>
        <v>TRK Engineering Services, Inc.</v>
      </c>
      <c r="E128" s="29" t="str">
        <f>IFERROR(VLOOKUP(TimeLog[[#This Row],[Project No]],ProjectsList[],3,FALSE),"")</f>
        <v>Hopewell - powerplus installation</v>
      </c>
      <c r="F128" s="21" t="s">
        <v>253</v>
      </c>
      <c r="G128" s="30">
        <v>2</v>
      </c>
      <c r="H128" s="41" t="s">
        <v>47</v>
      </c>
      <c r="I128" s="40"/>
      <c r="J128" s="43">
        <v>649</v>
      </c>
      <c r="K128" s="30" cm="1">
        <f t="array" ref="K128">IFERROR(VLOOKUP(TimeLog[[#This Row],[Project No]],ProjectsList[],_xlfn.SWITCH(TimeLog[[#This Row],[Type]],"ST",5,"OT",6,"TT",7,"HD",8),FALSE),"")</f>
        <v>110</v>
      </c>
      <c r="L128" s="107">
        <f>IFERROR(TimeLog[[#This Row],[Rate]]*TimeLog[[#This Row],[Hours]],"")</f>
        <v>220</v>
      </c>
    </row>
    <row r="129" spans="2:12" ht="19.5" customHeight="1" x14ac:dyDescent="0.25">
      <c r="B129" s="27">
        <v>45853</v>
      </c>
      <c r="C129" s="28">
        <v>506</v>
      </c>
      <c r="D129" s="29" t="str">
        <f>IFERROR(VLOOKUP(TimeLog[[#This Row],[Project No]],ProjectsList[],2,FALSE),"")</f>
        <v>TRK Engineering Services, Inc.</v>
      </c>
      <c r="E129" s="29" t="str">
        <f>IFERROR(VLOOKUP(TimeLog[[#This Row],[Project No]],ProjectsList[],3,FALSE),"")</f>
        <v>Suncor Weekly Meetings</v>
      </c>
      <c r="F129" s="21" t="s">
        <v>68</v>
      </c>
      <c r="G129" s="30">
        <v>1</v>
      </c>
      <c r="H129" s="41" t="s">
        <v>47</v>
      </c>
      <c r="I129" s="40"/>
      <c r="J129" s="43">
        <v>643</v>
      </c>
      <c r="K129" s="30" cm="1">
        <f t="array" ref="K129">IFERROR(VLOOKUP(TimeLog[[#This Row],[Project No]],ProjectsList[],_xlfn.SWITCH(TimeLog[[#This Row],[Type]],"ST",5,"OT",6,"TT",7,"HD",8),FALSE),"")</f>
        <v>110</v>
      </c>
      <c r="L129" s="107">
        <f>IFERROR(TimeLog[[#This Row],[Rate]]*TimeLog[[#This Row],[Hours]],"")</f>
        <v>110</v>
      </c>
    </row>
    <row r="130" spans="2:12" ht="19.5" customHeight="1" x14ac:dyDescent="0.25">
      <c r="B130" s="27">
        <v>45855</v>
      </c>
      <c r="C130" s="28">
        <v>506</v>
      </c>
      <c r="D130" s="29" t="str">
        <f>IFERROR(VLOOKUP(TimeLog[[#This Row],[Project No]],ProjectsList[],2,FALSE),"")</f>
        <v>TRK Engineering Services, Inc.</v>
      </c>
      <c r="E130" s="29" t="str">
        <f>IFERROR(VLOOKUP(TimeLog[[#This Row],[Project No]],ProjectsList[],3,FALSE),"")</f>
        <v>Suncor Weekly Meetings</v>
      </c>
      <c r="F130" s="21" t="s">
        <v>254</v>
      </c>
      <c r="G130" s="30">
        <v>2</v>
      </c>
      <c r="H130" s="41" t="s">
        <v>47</v>
      </c>
      <c r="I130" s="40"/>
      <c r="J130" s="43">
        <v>643</v>
      </c>
      <c r="K130" s="30" cm="1">
        <f t="array" ref="K130">IFERROR(VLOOKUP(TimeLog[[#This Row],[Project No]],ProjectsList[],_xlfn.SWITCH(TimeLog[[#This Row],[Type]],"ST",5,"OT",6,"TT",7,"HD",8),FALSE),"")</f>
        <v>110</v>
      </c>
      <c r="L130" s="107">
        <f>IFERROR(TimeLog[[#This Row],[Rate]]*TimeLog[[#This Row],[Hours]],"")</f>
        <v>220</v>
      </c>
    </row>
    <row r="131" spans="2:12" ht="19.5" customHeight="1" x14ac:dyDescent="0.25">
      <c r="B131" s="27">
        <v>45855</v>
      </c>
      <c r="C131" s="28">
        <v>510</v>
      </c>
      <c r="D131" s="29" t="str">
        <f>IFERROR(VLOOKUP(TimeLog[[#This Row],[Project No]],ProjectsList[],2,FALSE),"")</f>
        <v>TRK Engineering Services, Inc.</v>
      </c>
      <c r="E131" s="29" t="str">
        <f>IFERROR(VLOOKUP(TimeLog[[#This Row],[Project No]],ProjectsList[],3,FALSE),"")</f>
        <v>OI Brockway Glass</v>
      </c>
      <c r="F131" s="21" t="s">
        <v>255</v>
      </c>
      <c r="G131" s="30">
        <v>2</v>
      </c>
      <c r="H131" s="41" t="s">
        <v>47</v>
      </c>
      <c r="I131" s="40"/>
      <c r="J131" s="43">
        <v>642</v>
      </c>
      <c r="K131" s="30" cm="1">
        <f t="array" ref="K131">IFERROR(VLOOKUP(TimeLog[[#This Row],[Project No]],ProjectsList[],_xlfn.SWITCH(TimeLog[[#This Row],[Type]],"ST",5,"OT",6,"TT",7,"HD",8),FALSE),"")</f>
        <v>110</v>
      </c>
      <c r="L131" s="107">
        <f>IFERROR(TimeLog[[#This Row],[Rate]]*TimeLog[[#This Row],[Hours]],"")</f>
        <v>220</v>
      </c>
    </row>
    <row r="132" spans="2:12" ht="19.5" customHeight="1" x14ac:dyDescent="0.25">
      <c r="B132" s="27">
        <v>45862</v>
      </c>
      <c r="C132" s="28">
        <v>506</v>
      </c>
      <c r="D132" s="29" t="str">
        <f>IFERROR(VLOOKUP(TimeLog[[#This Row],[Project No]],ProjectsList[],2,FALSE),"")</f>
        <v>TRK Engineering Services, Inc.</v>
      </c>
      <c r="E132" s="29" t="str">
        <f>IFERROR(VLOOKUP(TimeLog[[#This Row],[Project No]],ProjectsList[],3,FALSE),"")</f>
        <v>Suncor Weekly Meetings</v>
      </c>
      <c r="F132" s="21" t="s">
        <v>256</v>
      </c>
      <c r="G132" s="30">
        <v>3</v>
      </c>
      <c r="H132" s="41" t="s">
        <v>47</v>
      </c>
      <c r="I132" s="40"/>
      <c r="J132" s="43">
        <v>643</v>
      </c>
      <c r="K132" s="30" cm="1">
        <f t="array" ref="K132">IFERROR(VLOOKUP(TimeLog[[#This Row],[Project No]],ProjectsList[],_xlfn.SWITCH(TimeLog[[#This Row],[Type]],"ST",5,"OT",6,"TT",7,"HD",8),FALSE),"")</f>
        <v>110</v>
      </c>
      <c r="L132" s="107">
        <f>IFERROR(TimeLog[[#This Row],[Rate]]*TimeLog[[#This Row],[Hours]],"")</f>
        <v>330</v>
      </c>
    </row>
    <row r="133" spans="2:12" ht="19.5" customHeight="1" x14ac:dyDescent="0.25">
      <c r="B133" s="27">
        <v>45864</v>
      </c>
      <c r="C133" s="28">
        <v>508</v>
      </c>
      <c r="D133" s="29" t="str">
        <f>IFERROR(VLOOKUP(TimeLog[[#This Row],[Project No]],ProjectsList[],2,FALSE),"")</f>
        <v>TRK Engineering Services, Inc.</v>
      </c>
      <c r="E133" s="29" t="str">
        <f>IFERROR(VLOOKUP(TimeLog[[#This Row],[Project No]],ProjectsList[],3,FALSE),"")</f>
        <v>Suncor Model Study - Crossover &amp; Mods</v>
      </c>
      <c r="F133" s="21" t="s">
        <v>208</v>
      </c>
      <c r="G133" s="30">
        <v>1</v>
      </c>
      <c r="H133" s="41" t="s">
        <v>58</v>
      </c>
      <c r="I133" s="40"/>
      <c r="J133" s="43">
        <v>650</v>
      </c>
      <c r="K133" s="30" cm="1">
        <f t="array" ref="K133">IFERROR(VLOOKUP(TimeLog[[#This Row],[Project No]],ProjectsList[],_xlfn.SWITCH(TimeLog[[#This Row],[Type]],"ST",5,"OT",6,"TT",7,"HD",8),FALSE),"")</f>
        <v>28350</v>
      </c>
      <c r="L133" s="107">
        <f>IFERROR(TimeLog[[#This Row],[Rate]]*TimeLog[[#This Row],[Hours]],"")</f>
        <v>28350</v>
      </c>
    </row>
    <row r="134" spans="2:12" ht="19.5" customHeight="1" x14ac:dyDescent="0.25">
      <c r="B134" s="27">
        <v>45867</v>
      </c>
      <c r="C134" s="28">
        <v>506</v>
      </c>
      <c r="D134" s="29" t="str">
        <f>IFERROR(VLOOKUP(TimeLog[[#This Row],[Project No]],ProjectsList[],2,FALSE),"")</f>
        <v>TRK Engineering Services, Inc.</v>
      </c>
      <c r="E134" s="29" t="str">
        <f>IFERROR(VLOOKUP(TimeLog[[#This Row],[Project No]],ProjectsList[],3,FALSE),"")</f>
        <v>Suncor Weekly Meetings</v>
      </c>
      <c r="F134" s="21" t="s">
        <v>68</v>
      </c>
      <c r="G134" s="30">
        <v>1</v>
      </c>
      <c r="H134" s="41" t="s">
        <v>47</v>
      </c>
      <c r="I134" s="40"/>
      <c r="J134" s="43">
        <v>655</v>
      </c>
      <c r="K134" s="30" cm="1">
        <f t="array" ref="K134">IFERROR(VLOOKUP(TimeLog[[#This Row],[Project No]],ProjectsList[],_xlfn.SWITCH(TimeLog[[#This Row],[Type]],"ST",5,"OT",6,"TT",7,"HD",8),FALSE),"")</f>
        <v>110</v>
      </c>
      <c r="L134" s="107">
        <f>IFERROR(TimeLog[[#This Row],[Rate]]*TimeLog[[#This Row],[Hours]],"")</f>
        <v>110</v>
      </c>
    </row>
    <row r="135" spans="2:12" ht="19.5" customHeight="1" x14ac:dyDescent="0.25">
      <c r="B135" s="27">
        <v>45868</v>
      </c>
      <c r="C135" s="28">
        <v>496</v>
      </c>
      <c r="D135" s="29" t="str">
        <f>IFERROR(VLOOKUP(TimeLog[[#This Row],[Project No]],ProjectsList[],2,FALSE),"")</f>
        <v>TRK Engineering Services, Inc.</v>
      </c>
      <c r="E135" s="29" t="str">
        <f>IFERROR(VLOOKUP(TimeLog[[#This Row],[Project No]],ProjectsList[],3,FALSE),"")</f>
        <v>Infinite Cooling WESP</v>
      </c>
      <c r="F135" s="21" t="s">
        <v>68</v>
      </c>
      <c r="G135" s="30">
        <v>3</v>
      </c>
      <c r="H135" s="41" t="s">
        <v>47</v>
      </c>
      <c r="I135" s="40"/>
      <c r="J135" s="43">
        <v>660</v>
      </c>
      <c r="K135" s="30" cm="1">
        <f t="array" ref="K135">IFERROR(VLOOKUP(TimeLog[[#This Row],[Project No]],ProjectsList[],_xlfn.SWITCH(TimeLog[[#This Row],[Type]],"ST",5,"OT",6,"TT",7,"HD",8),FALSE),"")</f>
        <v>110</v>
      </c>
      <c r="L135" s="107">
        <f>IFERROR(TimeLog[[#This Row],[Rate]]*TimeLog[[#This Row],[Hours]],"")</f>
        <v>330</v>
      </c>
    </row>
    <row r="136" spans="2:12" ht="19.5" customHeight="1" x14ac:dyDescent="0.25">
      <c r="B136" s="27">
        <v>45869</v>
      </c>
      <c r="C136" s="28">
        <v>517</v>
      </c>
      <c r="D136" s="29" t="str">
        <f>IFERROR(VLOOKUP(TimeLog[[#This Row],[Project No]],ProjectsList[],2,FALSE),"")</f>
        <v>TRK Engineering Services, Inc.</v>
      </c>
      <c r="E136" s="29" t="str">
        <f>IFERROR(VLOOKUP(TimeLog[[#This Row],[Project No]],ProjectsList[],3,FALSE),"")</f>
        <v>TRK - Ardagh-Pevely Conveyor</v>
      </c>
      <c r="F136" s="21" t="s">
        <v>144</v>
      </c>
      <c r="G136" s="30">
        <v>6</v>
      </c>
      <c r="H136" s="41" t="s">
        <v>48</v>
      </c>
      <c r="I136" s="40"/>
      <c r="J136" s="43">
        <v>651</v>
      </c>
      <c r="K136" s="30" cm="1">
        <f t="array" ref="K136">IFERROR(VLOOKUP(TimeLog[[#This Row],[Project No]],ProjectsList[],_xlfn.SWITCH(TimeLog[[#This Row],[Type]],"ST",5,"OT",6,"TT",7,"HD",8),FALSE),"")</f>
        <v>55</v>
      </c>
      <c r="L136" s="107">
        <f>IFERROR(TimeLog[[#This Row],[Rate]]*TimeLog[[#This Row],[Hours]],"")</f>
        <v>330</v>
      </c>
    </row>
    <row r="137" spans="2:12" ht="19.5" customHeight="1" x14ac:dyDescent="0.25">
      <c r="B137" s="27">
        <v>45870</v>
      </c>
      <c r="C137" s="28">
        <v>517</v>
      </c>
      <c r="D137" s="29" t="str">
        <f>IFERROR(VLOOKUP(TimeLog[[#This Row],[Project No]],ProjectsList[],2,FALSE),"")</f>
        <v>TRK Engineering Services, Inc.</v>
      </c>
      <c r="E137" s="29" t="str">
        <f>IFERROR(VLOOKUP(TimeLog[[#This Row],[Project No]],ProjectsList[],3,FALSE),"")</f>
        <v>TRK - Ardagh-Pevely Conveyor</v>
      </c>
      <c r="F137" s="21" t="s">
        <v>277</v>
      </c>
      <c r="G137" s="30">
        <v>9</v>
      </c>
      <c r="H137" s="41" t="s">
        <v>47</v>
      </c>
      <c r="I137" s="40"/>
      <c r="J137" s="43">
        <v>651</v>
      </c>
      <c r="K137" s="30" cm="1">
        <f t="array" ref="K137">IFERROR(VLOOKUP(TimeLog[[#This Row],[Project No]],ProjectsList[],_xlfn.SWITCH(TimeLog[[#This Row],[Type]],"ST",5,"OT",6,"TT",7,"HD",8),FALSE),"")</f>
        <v>110</v>
      </c>
      <c r="L137" s="107">
        <f>IFERROR(TimeLog[[#This Row],[Rate]]*TimeLog[[#This Row],[Hours]],"")</f>
        <v>990</v>
      </c>
    </row>
    <row r="138" spans="2:12" ht="19.5" customHeight="1" x14ac:dyDescent="0.25">
      <c r="B138" s="27">
        <v>45873</v>
      </c>
      <c r="C138" s="28">
        <v>517</v>
      </c>
      <c r="D138" s="29" t="str">
        <f>IFERROR(VLOOKUP(TimeLog[[#This Row],[Project No]],ProjectsList[],2,FALSE),"")</f>
        <v>TRK Engineering Services, Inc.</v>
      </c>
      <c r="E138" s="29" t="str">
        <f>IFERROR(VLOOKUP(TimeLog[[#This Row],[Project No]],ProjectsList[],3,FALSE),"")</f>
        <v>TRK - Ardagh-Pevely Conveyor</v>
      </c>
      <c r="F138" s="21" t="s">
        <v>278</v>
      </c>
      <c r="G138" s="30">
        <v>2</v>
      </c>
      <c r="H138" s="41" t="s">
        <v>47</v>
      </c>
      <c r="I138" s="40"/>
      <c r="J138" s="43">
        <v>651</v>
      </c>
      <c r="K138" s="30" cm="1">
        <f t="array" ref="K138">IFERROR(VLOOKUP(TimeLog[[#This Row],[Project No]],ProjectsList[],_xlfn.SWITCH(TimeLog[[#This Row],[Type]],"ST",5,"OT",6,"TT",7,"HD",8),FALSE),"")</f>
        <v>110</v>
      </c>
      <c r="L138" s="107">
        <f>IFERROR(TimeLog[[#This Row],[Rate]]*TimeLog[[#This Row],[Hours]],"")</f>
        <v>220</v>
      </c>
    </row>
    <row r="139" spans="2:12" ht="19.5" customHeight="1" x14ac:dyDescent="0.25">
      <c r="B139" s="27">
        <v>45874</v>
      </c>
      <c r="C139" s="28">
        <v>517</v>
      </c>
      <c r="D139" s="29" t="str">
        <f>IFERROR(VLOOKUP(TimeLog[[#This Row],[Project No]],ProjectsList[],2,FALSE),"")</f>
        <v>TRK Engineering Services, Inc.</v>
      </c>
      <c r="E139" s="29" t="str">
        <f>IFERROR(VLOOKUP(TimeLog[[#This Row],[Project No]],ProjectsList[],3,FALSE),"")</f>
        <v>TRK - Ardagh-Pevely Conveyor</v>
      </c>
      <c r="F139" s="21" t="s">
        <v>278</v>
      </c>
      <c r="G139" s="30">
        <v>6</v>
      </c>
      <c r="H139" s="41" t="s">
        <v>47</v>
      </c>
      <c r="I139" s="40"/>
      <c r="J139" s="43">
        <v>651</v>
      </c>
      <c r="K139" s="30" cm="1">
        <f t="array" ref="K139">IFERROR(VLOOKUP(TimeLog[[#This Row],[Project No]],ProjectsList[],_xlfn.SWITCH(TimeLog[[#This Row],[Type]],"ST",5,"OT",6,"TT",7,"HD",8),FALSE),"")</f>
        <v>110</v>
      </c>
      <c r="L139" s="107">
        <f>IFERROR(TimeLog[[#This Row],[Rate]]*TimeLog[[#This Row],[Hours]],"")</f>
        <v>660</v>
      </c>
    </row>
    <row r="140" spans="2:12" ht="19.5" customHeight="1" x14ac:dyDescent="0.25">
      <c r="B140" s="27">
        <v>45874</v>
      </c>
      <c r="C140" s="28">
        <v>506</v>
      </c>
      <c r="D140" s="29" t="str">
        <f>IFERROR(VLOOKUP(TimeLog[[#This Row],[Project No]],ProjectsList[],2,FALSE),"")</f>
        <v>TRK Engineering Services, Inc.</v>
      </c>
      <c r="E140" s="29" t="str">
        <f>IFERROR(VLOOKUP(TimeLog[[#This Row],[Project No]],ProjectsList[],3,FALSE),"")</f>
        <v>Suncor Weekly Meetings</v>
      </c>
      <c r="F140" s="21" t="s">
        <v>68</v>
      </c>
      <c r="G140" s="30">
        <v>1</v>
      </c>
      <c r="H140" s="41" t="s">
        <v>47</v>
      </c>
      <c r="I140" s="40"/>
      <c r="J140" s="43">
        <v>655</v>
      </c>
      <c r="K140" s="30" cm="1">
        <f t="array" ref="K140">IFERROR(VLOOKUP(TimeLog[[#This Row],[Project No]],ProjectsList[],_xlfn.SWITCH(TimeLog[[#This Row],[Type]],"ST",5,"OT",6,"TT",7,"HD",8),FALSE),"")</f>
        <v>110</v>
      </c>
      <c r="L140" s="107">
        <f>IFERROR(TimeLog[[#This Row],[Rate]]*TimeLog[[#This Row],[Hours]],"")</f>
        <v>110</v>
      </c>
    </row>
    <row r="141" spans="2:12" ht="19.5" customHeight="1" x14ac:dyDescent="0.25">
      <c r="B141" s="27">
        <v>45875</v>
      </c>
      <c r="C141" s="28">
        <v>517</v>
      </c>
      <c r="D141" s="29" t="str">
        <f>IFERROR(VLOOKUP(TimeLog[[#This Row],[Project No]],ProjectsList[],2,FALSE),"")</f>
        <v>TRK Engineering Services, Inc.</v>
      </c>
      <c r="E141" s="29" t="str">
        <f>IFERROR(VLOOKUP(TimeLog[[#This Row],[Project No]],ProjectsList[],3,FALSE),"")</f>
        <v>TRK - Ardagh-Pevely Conveyor</v>
      </c>
      <c r="F141" s="21" t="s">
        <v>278</v>
      </c>
      <c r="G141" s="30">
        <v>8</v>
      </c>
      <c r="H141" s="41" t="s">
        <v>47</v>
      </c>
      <c r="I141" s="40"/>
      <c r="J141" s="43">
        <v>651</v>
      </c>
      <c r="K141" s="30" cm="1">
        <f t="array" ref="K141">IFERROR(VLOOKUP(TimeLog[[#This Row],[Project No]],ProjectsList[],_xlfn.SWITCH(TimeLog[[#This Row],[Type]],"ST",5,"OT",6,"TT",7,"HD",8),FALSE),"")</f>
        <v>110</v>
      </c>
      <c r="L141" s="107">
        <f>IFERROR(TimeLog[[#This Row],[Rate]]*TimeLog[[#This Row],[Hours]],"")</f>
        <v>880</v>
      </c>
    </row>
    <row r="142" spans="2:12" ht="19.5" customHeight="1" x14ac:dyDescent="0.25">
      <c r="B142" s="27">
        <v>45876</v>
      </c>
      <c r="C142" s="28">
        <v>517</v>
      </c>
      <c r="D142" s="29" t="str">
        <f>IFERROR(VLOOKUP(TimeLog[[#This Row],[Project No]],ProjectsList[],2,FALSE),"")</f>
        <v>TRK Engineering Services, Inc.</v>
      </c>
      <c r="E142" s="29" t="str">
        <f>IFERROR(VLOOKUP(TimeLog[[#This Row],[Project No]],ProjectsList[],3,FALSE),"")</f>
        <v>TRK - Ardagh-Pevely Conveyor</v>
      </c>
      <c r="F142" s="21" t="s">
        <v>278</v>
      </c>
      <c r="G142" s="30">
        <v>8</v>
      </c>
      <c r="H142" s="41" t="s">
        <v>47</v>
      </c>
      <c r="I142" s="40"/>
      <c r="J142" s="43">
        <v>651</v>
      </c>
      <c r="K142" s="30" cm="1">
        <f t="array" ref="K142">IFERROR(VLOOKUP(TimeLog[[#This Row],[Project No]],ProjectsList[],_xlfn.SWITCH(TimeLog[[#This Row],[Type]],"ST",5,"OT",6,"TT",7,"HD",8),FALSE),"")</f>
        <v>110</v>
      </c>
      <c r="L142" s="107">
        <f>IFERROR(TimeLog[[#This Row],[Rate]]*TimeLog[[#This Row],[Hours]],"")</f>
        <v>880</v>
      </c>
    </row>
    <row r="143" spans="2:12" ht="19.5" customHeight="1" x14ac:dyDescent="0.25">
      <c r="B143" s="27">
        <v>45881</v>
      </c>
      <c r="C143" s="28">
        <v>506</v>
      </c>
      <c r="D143" s="29" t="str">
        <f>IFERROR(VLOOKUP(TimeLog[[#This Row],[Project No]],ProjectsList[],2,FALSE),"")</f>
        <v>TRK Engineering Services, Inc.</v>
      </c>
      <c r="E143" s="29" t="str">
        <f>IFERROR(VLOOKUP(TimeLog[[#This Row],[Project No]],ProjectsList[],3,FALSE),"")</f>
        <v>Suncor Weekly Meetings</v>
      </c>
      <c r="F143" s="21" t="s">
        <v>68</v>
      </c>
      <c r="G143" s="30">
        <v>5</v>
      </c>
      <c r="H143" s="41" t="s">
        <v>47</v>
      </c>
      <c r="I143" s="40"/>
      <c r="J143" s="43">
        <v>655</v>
      </c>
      <c r="K143" s="30" cm="1">
        <f t="array" ref="K143">IFERROR(VLOOKUP(TimeLog[[#This Row],[Project No]],ProjectsList[],_xlfn.SWITCH(TimeLog[[#This Row],[Type]],"ST",5,"OT",6,"TT",7,"HD",8),FALSE),"")</f>
        <v>110</v>
      </c>
      <c r="L143" s="107">
        <f>IFERROR(TimeLog[[#This Row],[Rate]]*TimeLog[[#This Row],[Hours]],"")</f>
        <v>550</v>
      </c>
    </row>
    <row r="144" spans="2:12" ht="19.5" customHeight="1" x14ac:dyDescent="0.25">
      <c r="B144" s="27">
        <v>45880</v>
      </c>
      <c r="C144" s="28">
        <v>517</v>
      </c>
      <c r="D144" s="29" t="str">
        <f>IFERROR(VLOOKUP(TimeLog[[#This Row],[Project No]],ProjectsList[],2,FALSE),"")</f>
        <v>TRK Engineering Services, Inc.</v>
      </c>
      <c r="E144" s="29" t="str">
        <f>IFERROR(VLOOKUP(TimeLog[[#This Row],[Project No]],ProjectsList[],3,FALSE),"")</f>
        <v>TRK - Ardagh-Pevely Conveyor</v>
      </c>
      <c r="F144" s="21" t="s">
        <v>278</v>
      </c>
      <c r="G144" s="30">
        <v>8</v>
      </c>
      <c r="H144" s="41" t="s">
        <v>47</v>
      </c>
      <c r="I144" s="40"/>
      <c r="J144" s="43">
        <v>651</v>
      </c>
      <c r="K144" s="30" cm="1">
        <f t="array" ref="K144">IFERROR(VLOOKUP(TimeLog[[#This Row],[Project No]],ProjectsList[],_xlfn.SWITCH(TimeLog[[#This Row],[Type]],"ST",5,"OT",6,"TT",7,"HD",8),FALSE),"")</f>
        <v>110</v>
      </c>
      <c r="L144" s="107">
        <f>IFERROR(TimeLog[[#This Row],[Rate]]*TimeLog[[#This Row],[Hours]],"")</f>
        <v>880</v>
      </c>
    </row>
    <row r="145" spans="2:12" ht="19.5" customHeight="1" x14ac:dyDescent="0.25">
      <c r="B145" s="27">
        <v>45888</v>
      </c>
      <c r="C145" s="28">
        <v>506</v>
      </c>
      <c r="D145" s="29" t="str">
        <f>IFERROR(VLOOKUP(TimeLog[[#This Row],[Project No]],ProjectsList[],2,FALSE),"")</f>
        <v>TRK Engineering Services, Inc.</v>
      </c>
      <c r="E145" s="29" t="str">
        <f>IFERROR(VLOOKUP(TimeLog[[#This Row],[Project No]],ProjectsList[],3,FALSE),"")</f>
        <v>Suncor Weekly Meetings</v>
      </c>
      <c r="F145" s="21" t="s">
        <v>68</v>
      </c>
      <c r="G145" s="30">
        <v>1</v>
      </c>
      <c r="H145" s="41" t="s">
        <v>47</v>
      </c>
      <c r="I145" s="40"/>
      <c r="J145" s="43">
        <v>655</v>
      </c>
      <c r="K145" s="30" cm="1">
        <f t="array" ref="K145">IFERROR(VLOOKUP(TimeLog[[#This Row],[Project No]],ProjectsList[],_xlfn.SWITCH(TimeLog[[#This Row],[Type]],"ST",5,"OT",6,"TT",7,"HD",8),FALSE),"")</f>
        <v>110</v>
      </c>
      <c r="L145" s="107">
        <f>IFERROR(TimeLog[[#This Row],[Rate]]*TimeLog[[#This Row],[Hours]],"")</f>
        <v>110</v>
      </c>
    </row>
    <row r="146" spans="2:12" ht="19.5" customHeight="1" x14ac:dyDescent="0.25">
      <c r="B146" s="27">
        <v>45890</v>
      </c>
      <c r="C146" s="28">
        <v>513</v>
      </c>
      <c r="D146" s="29" t="str">
        <f>IFERROR(VLOOKUP(TimeLog[[#This Row],[Project No]],ProjectsList[],2,FALSE),"")</f>
        <v>TRK Engineering Services, Inc.</v>
      </c>
      <c r="E146" s="29" t="str">
        <f>IFERROR(VLOOKUP(TimeLog[[#This Row],[Project No]],ProjectsList[],3,FALSE),"")</f>
        <v>Rio Tinto FS &amp; FC ESP</v>
      </c>
      <c r="F146" s="21" t="s">
        <v>68</v>
      </c>
      <c r="G146" s="30">
        <v>2</v>
      </c>
      <c r="H146" s="41" t="s">
        <v>47</v>
      </c>
      <c r="I146" s="40"/>
      <c r="J146" s="43">
        <v>656</v>
      </c>
      <c r="K146" s="30" cm="1">
        <f t="array" ref="K146">IFERROR(VLOOKUP(TimeLog[[#This Row],[Project No]],ProjectsList[],_xlfn.SWITCH(TimeLog[[#This Row],[Type]],"ST",5,"OT",6,"TT",7,"HD",8),FALSE),"")</f>
        <v>110</v>
      </c>
      <c r="L146" s="107">
        <f>IFERROR(TimeLog[[#This Row],[Rate]]*TimeLog[[#This Row],[Hours]],"")</f>
        <v>220</v>
      </c>
    </row>
    <row r="147" spans="2:12" ht="19.5" customHeight="1" x14ac:dyDescent="0.25">
      <c r="B147" s="27">
        <v>45897</v>
      </c>
      <c r="C147" s="28">
        <v>507</v>
      </c>
      <c r="D147" s="29" t="str">
        <f>IFERROR(VLOOKUP(TimeLog[[#This Row],[Project No]],ProjectsList[],2,FALSE),"")</f>
        <v>TRK Engineering Services, Inc.</v>
      </c>
      <c r="E147" s="29" t="str">
        <f>IFERROR(VLOOKUP(TimeLog[[#This Row],[Project No]],ProjectsList[],3,FALSE),"")</f>
        <v>Suncor Extra Engineering</v>
      </c>
      <c r="F147" s="21" t="s">
        <v>279</v>
      </c>
      <c r="G147" s="30">
        <v>2</v>
      </c>
      <c r="H147" s="41" t="s">
        <v>47</v>
      </c>
      <c r="I147" s="40"/>
      <c r="J147" s="43">
        <v>657</v>
      </c>
      <c r="K147" s="30" cm="1">
        <f t="array" ref="K147">IFERROR(VLOOKUP(TimeLog[[#This Row],[Project No]],ProjectsList[],_xlfn.SWITCH(TimeLog[[#This Row],[Type]],"ST",5,"OT",6,"TT",7,"HD",8),FALSE),"")</f>
        <v>110</v>
      </c>
      <c r="L147" s="107">
        <f>IFERROR(TimeLog[[#This Row],[Rate]]*TimeLog[[#This Row],[Hours]],"")</f>
        <v>220</v>
      </c>
    </row>
    <row r="148" spans="2:12" ht="19.5" customHeight="1" x14ac:dyDescent="0.25">
      <c r="B148" s="27">
        <v>45898</v>
      </c>
      <c r="C148" s="28">
        <v>507</v>
      </c>
      <c r="D148" s="29" t="str">
        <f>IFERROR(VLOOKUP(TimeLog[[#This Row],[Project No]],ProjectsList[],2,FALSE),"")</f>
        <v>TRK Engineering Services, Inc.</v>
      </c>
      <c r="E148" s="29" t="str">
        <f>IFERROR(VLOOKUP(TimeLog[[#This Row],[Project No]],ProjectsList[],3,FALSE),"")</f>
        <v>Suncor Extra Engineering</v>
      </c>
      <c r="F148" s="21" t="s">
        <v>279</v>
      </c>
      <c r="G148" s="30">
        <v>9</v>
      </c>
      <c r="H148" s="41" t="s">
        <v>47</v>
      </c>
      <c r="I148" s="40"/>
      <c r="J148" s="43">
        <v>657</v>
      </c>
      <c r="K148" s="30" cm="1">
        <f t="array" ref="K148">IFERROR(VLOOKUP(TimeLog[[#This Row],[Project No]],ProjectsList[],_xlfn.SWITCH(TimeLog[[#This Row],[Type]],"ST",5,"OT",6,"TT",7,"HD",8),FALSE),"")</f>
        <v>110</v>
      </c>
      <c r="L148" s="107">
        <f>IFERROR(TimeLog[[#This Row],[Rate]]*TimeLog[[#This Row],[Hours]],"")</f>
        <v>990</v>
      </c>
    </row>
    <row r="149" spans="2:12" ht="19.5" customHeight="1" x14ac:dyDescent="0.25">
      <c r="B149" s="27">
        <v>45903</v>
      </c>
      <c r="C149" s="28">
        <v>513</v>
      </c>
      <c r="D149" s="29" t="str">
        <f>IFERROR(VLOOKUP(TimeLog[[#This Row],[Project No]],ProjectsList[],2,FALSE),"")</f>
        <v>TRK Engineering Services, Inc.</v>
      </c>
      <c r="E149" s="29" t="str">
        <f>IFERROR(VLOOKUP(TimeLog[[#This Row],[Project No]],ProjectsList[],3,FALSE),"")</f>
        <v>Rio Tinto FS &amp; FC ESP</v>
      </c>
      <c r="F149" s="21" t="s">
        <v>280</v>
      </c>
      <c r="G149" s="30">
        <v>5</v>
      </c>
      <c r="H149" s="41" t="s">
        <v>47</v>
      </c>
      <c r="I149" s="40"/>
      <c r="J149" s="43">
        <v>656</v>
      </c>
      <c r="K149" s="30" cm="1">
        <f t="array" ref="K149">IFERROR(VLOOKUP(TimeLog[[#This Row],[Project No]],ProjectsList[],_xlfn.SWITCH(TimeLog[[#This Row],[Type]],"ST",5,"OT",6,"TT",7,"HD",8),FALSE),"")</f>
        <v>110</v>
      </c>
      <c r="L149" s="107">
        <f>IFERROR(TimeLog[[#This Row],[Rate]]*TimeLog[[#This Row],[Hours]],"")</f>
        <v>550</v>
      </c>
    </row>
    <row r="150" spans="2:12" ht="19.5" customHeight="1" x14ac:dyDescent="0.25">
      <c r="B150" s="27">
        <v>45904</v>
      </c>
      <c r="C150" s="28">
        <v>513</v>
      </c>
      <c r="D150" s="29" t="str">
        <f>IFERROR(VLOOKUP(TimeLog[[#This Row],[Project No]],ProjectsList[],2,FALSE),"")</f>
        <v>TRK Engineering Services, Inc.</v>
      </c>
      <c r="E150" s="29" t="str">
        <f>IFERROR(VLOOKUP(TimeLog[[#This Row],[Project No]],ProjectsList[],3,FALSE),"")</f>
        <v>Rio Tinto FS &amp; FC ESP</v>
      </c>
      <c r="F150" s="21" t="s">
        <v>280</v>
      </c>
      <c r="G150" s="30">
        <v>2</v>
      </c>
      <c r="H150" s="41" t="s">
        <v>47</v>
      </c>
      <c r="I150" s="40"/>
      <c r="J150" s="43">
        <v>656</v>
      </c>
      <c r="K150" s="30" cm="1">
        <f t="array" ref="K150">IFERROR(VLOOKUP(TimeLog[[#This Row],[Project No]],ProjectsList[],_xlfn.SWITCH(TimeLog[[#This Row],[Type]],"ST",5,"OT",6,"TT",7,"HD",8),FALSE),"")</f>
        <v>110</v>
      </c>
      <c r="L150" s="107">
        <f>IFERROR(TimeLog[[#This Row],[Rate]]*TimeLog[[#This Row],[Hours]],"")</f>
        <v>220</v>
      </c>
    </row>
    <row r="151" spans="2:12" ht="19.5" customHeight="1" x14ac:dyDescent="0.25">
      <c r="B151" s="27">
        <v>45904</v>
      </c>
      <c r="C151" s="28">
        <v>518</v>
      </c>
      <c r="D151" s="29" t="str">
        <f>IFERROR(VLOOKUP(TimeLog[[#This Row],[Project No]],ProjectsList[],2,FALSE),"")</f>
        <v>TRK Engineering Services, Inc.</v>
      </c>
      <c r="E151" s="29" t="str">
        <f>IFERROR(VLOOKUP(TimeLog[[#This Row],[Project No]],ProjectsList[],3,FALSE),"")</f>
        <v>Small Projects - General Office help</v>
      </c>
      <c r="F151" s="21" t="s">
        <v>281</v>
      </c>
      <c r="G151" s="30">
        <v>3</v>
      </c>
      <c r="H151" s="41" t="s">
        <v>47</v>
      </c>
      <c r="I151" s="40"/>
      <c r="J151" s="43">
        <v>659</v>
      </c>
      <c r="K151" s="30" cm="1">
        <f t="array" ref="K151">IFERROR(VLOOKUP(TimeLog[[#This Row],[Project No]],ProjectsList[],_xlfn.SWITCH(TimeLog[[#This Row],[Type]],"ST",5,"OT",6,"TT",7,"HD",8),FALSE),"")</f>
        <v>110</v>
      </c>
      <c r="L151" s="107">
        <f>IFERROR(TimeLog[[#This Row],[Rate]]*TimeLog[[#This Row],[Hours]],"")</f>
        <v>330</v>
      </c>
    </row>
    <row r="152" spans="2:12" ht="19.5" customHeight="1" x14ac:dyDescent="0.25">
      <c r="B152" s="27">
        <v>45909</v>
      </c>
      <c r="C152" s="28">
        <v>506</v>
      </c>
      <c r="D152" s="29" t="str">
        <f>IFERROR(VLOOKUP(TimeLog[[#This Row],[Project No]],ProjectsList[],2,FALSE),"")</f>
        <v>TRK Engineering Services, Inc.</v>
      </c>
      <c r="E152" s="29" t="str">
        <f>IFERROR(VLOOKUP(TimeLog[[#This Row],[Project No]],ProjectsList[],3,FALSE),"")</f>
        <v>Suncor Weekly Meetings</v>
      </c>
      <c r="F152" s="21" t="s">
        <v>68</v>
      </c>
      <c r="G152" s="30">
        <v>1</v>
      </c>
      <c r="H152" s="41" t="s">
        <v>47</v>
      </c>
      <c r="I152" s="40"/>
      <c r="J152" s="43">
        <v>655</v>
      </c>
      <c r="K152" s="30" cm="1">
        <f t="array" ref="K152">IFERROR(VLOOKUP(TimeLog[[#This Row],[Project No]],ProjectsList[],_xlfn.SWITCH(TimeLog[[#This Row],[Type]],"ST",5,"OT",6,"TT",7,"HD",8),FALSE),"")</f>
        <v>110</v>
      </c>
      <c r="L152" s="107">
        <f>IFERROR(TimeLog[[#This Row],[Rate]]*TimeLog[[#This Row],[Hours]],"")</f>
        <v>110</v>
      </c>
    </row>
    <row r="153" spans="2:12" ht="19.5" customHeight="1" x14ac:dyDescent="0.25">
      <c r="B153" s="27">
        <v>45910</v>
      </c>
      <c r="C153" s="28">
        <v>518</v>
      </c>
      <c r="D153" s="29" t="str">
        <f>IFERROR(VLOOKUP(TimeLog[[#This Row],[Project No]],ProjectsList[],2,FALSE),"")</f>
        <v>TRK Engineering Services, Inc.</v>
      </c>
      <c r="E153" s="29" t="str">
        <f>IFERROR(VLOOKUP(TimeLog[[#This Row],[Project No]],ProjectsList[],3,FALSE),"")</f>
        <v>Small Projects - General Office help</v>
      </c>
      <c r="F153" s="21" t="s">
        <v>283</v>
      </c>
      <c r="G153" s="30">
        <v>3</v>
      </c>
      <c r="H153" s="41" t="s">
        <v>47</v>
      </c>
      <c r="I153" s="40"/>
      <c r="J153" s="43">
        <v>659</v>
      </c>
      <c r="K153" s="30" cm="1">
        <f t="array" ref="K153">IFERROR(VLOOKUP(TimeLog[[#This Row],[Project No]],ProjectsList[],_xlfn.SWITCH(TimeLog[[#This Row],[Type]],"ST",5,"OT",6,"TT",7,"HD",8),FALSE),"")</f>
        <v>110</v>
      </c>
      <c r="L153" s="107">
        <f>IFERROR(TimeLog[[#This Row],[Rate]]*TimeLog[[#This Row],[Hours]],"")</f>
        <v>330</v>
      </c>
    </row>
    <row r="154" spans="2:12" ht="19.5" customHeight="1" x14ac:dyDescent="0.25">
      <c r="B154" s="27">
        <v>45914</v>
      </c>
      <c r="C154" s="28">
        <v>518</v>
      </c>
      <c r="D154" s="29" t="str">
        <f>IFERROR(VLOOKUP(TimeLog[[#This Row],[Project No]],ProjectsList[],2,FALSE),"")</f>
        <v>TRK Engineering Services, Inc.</v>
      </c>
      <c r="E154" s="29" t="str">
        <f>IFERROR(VLOOKUP(TimeLog[[#This Row],[Project No]],ProjectsList[],3,FALSE),"")</f>
        <v>Small Projects - General Office help</v>
      </c>
      <c r="F154" s="21" t="s">
        <v>283</v>
      </c>
      <c r="G154" s="30">
        <v>3</v>
      </c>
      <c r="H154" s="41" t="s">
        <v>47</v>
      </c>
      <c r="I154" s="40"/>
      <c r="J154" s="43">
        <v>659</v>
      </c>
      <c r="K154" s="30" cm="1">
        <f t="array" ref="K154">IFERROR(VLOOKUP(TimeLog[[#This Row],[Project No]],ProjectsList[],_xlfn.SWITCH(TimeLog[[#This Row],[Type]],"ST",5,"OT",6,"TT",7,"HD",8),FALSE),"")</f>
        <v>110</v>
      </c>
      <c r="L154" s="107">
        <f>IFERROR(TimeLog[[#This Row],[Rate]]*TimeLog[[#This Row],[Hours]],"")</f>
        <v>330</v>
      </c>
    </row>
    <row r="155" spans="2:12" ht="19.5" customHeight="1" x14ac:dyDescent="0.25">
      <c r="B155" s="27">
        <v>45914</v>
      </c>
      <c r="C155" s="28">
        <v>518</v>
      </c>
      <c r="D155" s="29" t="str">
        <f>IFERROR(VLOOKUP(TimeLog[[#This Row],[Project No]],ProjectsList[],2,FALSE),"")</f>
        <v>TRK Engineering Services, Inc.</v>
      </c>
      <c r="E155" s="29" t="str">
        <f>IFERROR(VLOOKUP(TimeLog[[#This Row],[Project No]],ProjectsList[],3,FALSE),"")</f>
        <v>Small Projects - General Office help</v>
      </c>
      <c r="F155" s="21" t="s">
        <v>287</v>
      </c>
      <c r="G155" s="30">
        <v>3</v>
      </c>
      <c r="H155" s="41" t="s">
        <v>47</v>
      </c>
      <c r="I155" s="40"/>
      <c r="J155" s="43">
        <v>659</v>
      </c>
      <c r="K155" s="30" cm="1">
        <f t="array" ref="K155">IFERROR(VLOOKUP(TimeLog[[#This Row],[Project No]],ProjectsList[],_xlfn.SWITCH(TimeLog[[#This Row],[Type]],"ST",5,"OT",6,"TT",7,"HD",8),FALSE),"")</f>
        <v>110</v>
      </c>
      <c r="L155" s="107">
        <f>IFERROR(TimeLog[[#This Row],[Rate]]*TimeLog[[#This Row],[Hours]],"")</f>
        <v>330</v>
      </c>
    </row>
    <row r="156" spans="2:12" ht="19.5" customHeight="1" x14ac:dyDescent="0.25">
      <c r="B156" s="27">
        <v>45915</v>
      </c>
      <c r="C156" s="28">
        <v>519</v>
      </c>
      <c r="D156" s="29" t="str">
        <f>IFERROR(VLOOKUP(TimeLog[[#This Row],[Project No]],ProjectsList[],2,FALSE),"")</f>
        <v>TRK Engineering Services, Inc.</v>
      </c>
      <c r="E156" s="29" t="str">
        <f>IFERROR(VLOOKUP(TimeLog[[#This Row],[Project No]],ProjectsList[],3,FALSE),"")</f>
        <v>IP - Pine Hill, AL</v>
      </c>
      <c r="F156" s="21" t="s">
        <v>289</v>
      </c>
      <c r="G156" s="30">
        <v>2</v>
      </c>
      <c r="H156" s="41" t="s">
        <v>47</v>
      </c>
      <c r="I156" s="40"/>
      <c r="J156" s="43">
        <v>652</v>
      </c>
      <c r="K156" s="30" cm="1">
        <f t="array" ref="K156">IFERROR(VLOOKUP(TimeLog[[#This Row],[Project No]],ProjectsList[],_xlfn.SWITCH(TimeLog[[#This Row],[Type]],"ST",5,"OT",6,"TT",7,"HD",8),FALSE),"")</f>
        <v>110</v>
      </c>
      <c r="L156" s="107">
        <f>IFERROR(TimeLog[[#This Row],[Rate]]*TimeLog[[#This Row],[Hours]],"")</f>
        <v>220</v>
      </c>
    </row>
    <row r="157" spans="2:12" ht="19.5" customHeight="1" x14ac:dyDescent="0.25">
      <c r="B157" s="27">
        <v>45915</v>
      </c>
      <c r="C157" s="28">
        <v>516</v>
      </c>
      <c r="D157" s="29" t="str">
        <f>IFERROR(VLOOKUP(TimeLog[[#This Row],[Project No]],ProjectsList[],2,FALSE),"")</f>
        <v>TRK Engineering Services, Inc.</v>
      </c>
      <c r="E157" s="29" t="str">
        <f>IFERROR(VLOOKUP(TimeLog[[#This Row],[Project No]],ProjectsList[],3,FALSE),"")</f>
        <v>IP - Rome, GA RB5 &amp; WHB6</v>
      </c>
      <c r="F157" s="21" t="s">
        <v>289</v>
      </c>
      <c r="G157" s="30">
        <v>2</v>
      </c>
      <c r="H157" s="41" t="s">
        <v>47</v>
      </c>
      <c r="I157" s="40"/>
      <c r="J157" s="43">
        <v>654</v>
      </c>
      <c r="K157" s="30" cm="1">
        <f t="array" ref="K157">IFERROR(VLOOKUP(TimeLog[[#This Row],[Project No]],ProjectsList[],_xlfn.SWITCH(TimeLog[[#This Row],[Type]],"ST",5,"OT",6,"TT",7,"HD",8),FALSE),"")</f>
        <v>110</v>
      </c>
      <c r="L157" s="107">
        <f>IFERROR(TimeLog[[#This Row],[Rate]]*TimeLog[[#This Row],[Hours]],"")</f>
        <v>220</v>
      </c>
    </row>
    <row r="158" spans="2:12" ht="19.5" customHeight="1" x14ac:dyDescent="0.25">
      <c r="B158" s="27">
        <v>45916</v>
      </c>
      <c r="C158" s="28">
        <v>519</v>
      </c>
      <c r="D158" s="29" t="str">
        <f>IFERROR(VLOOKUP(TimeLog[[#This Row],[Project No]],ProjectsList[],2,FALSE),"")</f>
        <v>TRK Engineering Services, Inc.</v>
      </c>
      <c r="E158" s="29" t="str">
        <f>IFERROR(VLOOKUP(TimeLog[[#This Row],[Project No]],ProjectsList[],3,FALSE),"")</f>
        <v>IP - Pine Hill, AL</v>
      </c>
      <c r="F158" s="21" t="s">
        <v>144</v>
      </c>
      <c r="G158" s="30">
        <v>5</v>
      </c>
      <c r="H158" s="41" t="s">
        <v>48</v>
      </c>
      <c r="I158" s="40"/>
      <c r="J158" s="43">
        <v>652</v>
      </c>
      <c r="K158" s="30" cm="1">
        <f t="array" ref="K158">IFERROR(VLOOKUP(TimeLog[[#This Row],[Project No]],ProjectsList[],_xlfn.SWITCH(TimeLog[[#This Row],[Type]],"ST",5,"OT",6,"TT",7,"HD",8),FALSE),"")</f>
        <v>55</v>
      </c>
      <c r="L158" s="107">
        <f>IFERROR(TimeLog[[#This Row],[Rate]]*TimeLog[[#This Row],[Hours]],"")</f>
        <v>275</v>
      </c>
    </row>
    <row r="159" spans="2:12" ht="19.5" customHeight="1" x14ac:dyDescent="0.25">
      <c r="B159" s="27">
        <v>45917</v>
      </c>
      <c r="C159" s="28">
        <v>519</v>
      </c>
      <c r="D159" s="29" t="str">
        <f>IFERROR(VLOOKUP(TimeLog[[#This Row],[Project No]],ProjectsList[],2,FALSE),"")</f>
        <v>TRK Engineering Services, Inc.</v>
      </c>
      <c r="E159" s="29" t="str">
        <f>IFERROR(VLOOKUP(TimeLog[[#This Row],[Project No]],ProjectsList[],3,FALSE),"")</f>
        <v>IP - Pine Hill, AL</v>
      </c>
      <c r="F159" s="21" t="s">
        <v>145</v>
      </c>
      <c r="G159" s="30">
        <v>10</v>
      </c>
      <c r="H159" s="41" t="s">
        <v>47</v>
      </c>
      <c r="I159" s="40"/>
      <c r="J159" s="43">
        <v>652</v>
      </c>
      <c r="K159" s="30" cm="1">
        <f t="array" ref="K159">IFERROR(VLOOKUP(TimeLog[[#This Row],[Project No]],ProjectsList[],_xlfn.SWITCH(TimeLog[[#This Row],[Type]],"ST",5,"OT",6,"TT",7,"HD",8),FALSE),"")</f>
        <v>110</v>
      </c>
      <c r="L159" s="107">
        <f>IFERROR(TimeLog[[#This Row],[Rate]]*TimeLog[[#This Row],[Hours]],"")</f>
        <v>1100</v>
      </c>
    </row>
    <row r="160" spans="2:12" ht="19.5" customHeight="1" x14ac:dyDescent="0.25">
      <c r="B160" s="27">
        <v>45917</v>
      </c>
      <c r="C160" s="28">
        <v>519</v>
      </c>
      <c r="D160" s="29" t="str">
        <f>IFERROR(VLOOKUP(TimeLog[[#This Row],[Project No]],ProjectsList[],2,FALSE),"")</f>
        <v>TRK Engineering Services, Inc.</v>
      </c>
      <c r="E160" s="29" t="str">
        <f>IFERROR(VLOOKUP(TimeLog[[#This Row],[Project No]],ProjectsList[],3,FALSE),"")</f>
        <v>IP - Pine Hill, AL</v>
      </c>
      <c r="F160" s="21" t="s">
        <v>145</v>
      </c>
      <c r="G160" s="30">
        <v>1</v>
      </c>
      <c r="H160" s="41" t="s">
        <v>233</v>
      </c>
      <c r="I160" s="40"/>
      <c r="J160" s="43">
        <v>652</v>
      </c>
      <c r="K160" s="30" cm="1">
        <f t="array" ref="K160">IFERROR(VLOOKUP(TimeLog[[#This Row],[Project No]],ProjectsList[],_xlfn.SWITCH(TimeLog[[#This Row],[Type]],"ST",5,"OT",6,"TT",7,"HD",8),FALSE),"")</f>
        <v>165</v>
      </c>
      <c r="L160" s="107">
        <f>IFERROR(TimeLog[[#This Row],[Rate]]*TimeLog[[#This Row],[Hours]],"")</f>
        <v>165</v>
      </c>
    </row>
    <row r="161" spans="2:12" ht="19.5" customHeight="1" x14ac:dyDescent="0.25">
      <c r="B161" s="27">
        <v>45918</v>
      </c>
      <c r="C161" s="28">
        <v>519</v>
      </c>
      <c r="D161" s="29" t="str">
        <f>IFERROR(VLOOKUP(TimeLog[[#This Row],[Project No]],ProjectsList[],2,FALSE),"")</f>
        <v>TRK Engineering Services, Inc.</v>
      </c>
      <c r="E161" s="29" t="str">
        <f>IFERROR(VLOOKUP(TimeLog[[#This Row],[Project No]],ProjectsList[],3,FALSE),"")</f>
        <v>IP - Pine Hill, AL</v>
      </c>
      <c r="F161" s="21" t="s">
        <v>146</v>
      </c>
      <c r="G161" s="30">
        <v>3</v>
      </c>
      <c r="H161" s="41" t="s">
        <v>48</v>
      </c>
      <c r="I161" s="40"/>
      <c r="J161" s="43">
        <v>652</v>
      </c>
      <c r="K161" s="30" cm="1">
        <f t="array" ref="K161">IFERROR(VLOOKUP(TimeLog[[#This Row],[Project No]],ProjectsList[],_xlfn.SWITCH(TimeLog[[#This Row],[Type]],"ST",5,"OT",6,"TT",7,"HD",8),FALSE),"")</f>
        <v>55</v>
      </c>
      <c r="L161" s="107">
        <f>IFERROR(TimeLog[[#This Row],[Rate]]*TimeLog[[#This Row],[Hours]],"")</f>
        <v>165</v>
      </c>
    </row>
    <row r="162" spans="2:12" ht="19.5" customHeight="1" x14ac:dyDescent="0.25">
      <c r="B162" s="27">
        <v>45918</v>
      </c>
      <c r="C162" s="28">
        <v>520</v>
      </c>
      <c r="D162" s="29" t="str">
        <f>IFERROR(VLOOKUP(TimeLog[[#This Row],[Project No]],ProjectsList[],2,FALSE),"")</f>
        <v>TRK Engineering Services, Inc.</v>
      </c>
      <c r="E162" s="29" t="str">
        <f>IFERROR(VLOOKUP(TimeLog[[#This Row],[Project No]],ProjectsList[],3,FALSE),"")</f>
        <v>IP - Riverdale, AL BB2</v>
      </c>
      <c r="F162" s="21" t="s">
        <v>145</v>
      </c>
      <c r="G162" s="30">
        <v>10</v>
      </c>
      <c r="H162" s="41" t="s">
        <v>47</v>
      </c>
      <c r="I162" s="40"/>
      <c r="J162" s="43">
        <v>653</v>
      </c>
      <c r="K162" s="30" cm="1">
        <f t="array" ref="K162">IFERROR(VLOOKUP(TimeLog[[#This Row],[Project No]],ProjectsList[],_xlfn.SWITCH(TimeLog[[#This Row],[Type]],"ST",5,"OT",6,"TT",7,"HD",8),FALSE),"")</f>
        <v>110</v>
      </c>
      <c r="L162" s="107">
        <f>IFERROR(TimeLog[[#This Row],[Rate]]*TimeLog[[#This Row],[Hours]],"")</f>
        <v>1100</v>
      </c>
    </row>
    <row r="163" spans="2:12" ht="19.5" customHeight="1" x14ac:dyDescent="0.25">
      <c r="B163" s="27">
        <v>45918</v>
      </c>
      <c r="C163" s="28">
        <v>520</v>
      </c>
      <c r="D163" s="29" t="str">
        <f>IFERROR(VLOOKUP(TimeLog[[#This Row],[Project No]],ProjectsList[],2,FALSE),"")</f>
        <v>TRK Engineering Services, Inc.</v>
      </c>
      <c r="E163" s="29" t="str">
        <f>IFERROR(VLOOKUP(TimeLog[[#This Row],[Project No]],ProjectsList[],3,FALSE),"")</f>
        <v>IP - Riverdale, AL BB2</v>
      </c>
      <c r="F163" s="21" t="s">
        <v>145</v>
      </c>
      <c r="G163" s="30">
        <v>1</v>
      </c>
      <c r="H163" s="41" t="s">
        <v>233</v>
      </c>
      <c r="I163" s="40"/>
      <c r="J163" s="43">
        <v>653</v>
      </c>
      <c r="K163" s="30" cm="1">
        <f t="array" ref="K163">IFERROR(VLOOKUP(TimeLog[[#This Row],[Project No]],ProjectsList[],_xlfn.SWITCH(TimeLog[[#This Row],[Type]],"ST",5,"OT",6,"TT",7,"HD",8),FALSE),"")</f>
        <v>165</v>
      </c>
      <c r="L163" s="107">
        <f>IFERROR(TimeLog[[#This Row],[Rate]]*TimeLog[[#This Row],[Hours]],"")</f>
        <v>165</v>
      </c>
    </row>
    <row r="164" spans="2:12" ht="19.5" customHeight="1" x14ac:dyDescent="0.25">
      <c r="B164" s="27">
        <v>45919</v>
      </c>
      <c r="C164" s="28">
        <v>520</v>
      </c>
      <c r="D164" s="29" t="str">
        <f>IFERROR(VLOOKUP(TimeLog[[#This Row],[Project No]],ProjectsList[],2,FALSE),"")</f>
        <v>TRK Engineering Services, Inc.</v>
      </c>
      <c r="E164" s="29" t="str">
        <f>IFERROR(VLOOKUP(TimeLog[[#This Row],[Project No]],ProjectsList[],3,FALSE),"")</f>
        <v>IP - Riverdale, AL BB2</v>
      </c>
      <c r="F164" s="21" t="s">
        <v>145</v>
      </c>
      <c r="G164" s="30">
        <v>10</v>
      </c>
      <c r="H164" s="41" t="s">
        <v>47</v>
      </c>
      <c r="I164" s="40"/>
      <c r="J164" s="43">
        <v>653</v>
      </c>
      <c r="K164" s="30" cm="1">
        <f t="array" ref="K164">IFERROR(VLOOKUP(TimeLog[[#This Row],[Project No]],ProjectsList[],_xlfn.SWITCH(TimeLog[[#This Row],[Type]],"ST",5,"OT",6,"TT",7,"HD",8),FALSE),"")</f>
        <v>110</v>
      </c>
      <c r="L164" s="107">
        <f>IFERROR(TimeLog[[#This Row],[Rate]]*TimeLog[[#This Row],[Hours]],"")</f>
        <v>1100</v>
      </c>
    </row>
    <row r="165" spans="2:12" ht="19.5" customHeight="1" x14ac:dyDescent="0.25">
      <c r="B165" s="27">
        <v>45919</v>
      </c>
      <c r="C165" s="28">
        <v>520</v>
      </c>
      <c r="D165" s="29" t="str">
        <f>IFERROR(VLOOKUP(TimeLog[[#This Row],[Project No]],ProjectsList[],2,FALSE),"")</f>
        <v>TRK Engineering Services, Inc.</v>
      </c>
      <c r="E165" s="29" t="str">
        <f>IFERROR(VLOOKUP(TimeLog[[#This Row],[Project No]],ProjectsList[],3,FALSE),"")</f>
        <v>IP - Riverdale, AL BB2</v>
      </c>
      <c r="F165" s="21" t="s">
        <v>145</v>
      </c>
      <c r="G165" s="30">
        <v>2</v>
      </c>
      <c r="H165" s="41" t="s">
        <v>233</v>
      </c>
      <c r="I165" s="40"/>
      <c r="J165" s="43">
        <v>653</v>
      </c>
      <c r="K165" s="30" cm="1">
        <f t="array" ref="K165">IFERROR(VLOOKUP(TimeLog[[#This Row],[Project No]],ProjectsList[],_xlfn.SWITCH(TimeLog[[#This Row],[Type]],"ST",5,"OT",6,"TT",7,"HD",8),FALSE),"")</f>
        <v>165</v>
      </c>
      <c r="L165" s="107">
        <f>IFERROR(TimeLog[[#This Row],[Rate]]*TimeLog[[#This Row],[Hours]],"")</f>
        <v>330</v>
      </c>
    </row>
    <row r="166" spans="2:12" ht="19.5" customHeight="1" x14ac:dyDescent="0.25">
      <c r="B166" s="27">
        <v>45920</v>
      </c>
      <c r="C166" s="28">
        <v>520</v>
      </c>
      <c r="D166" s="29" t="str">
        <f>IFERROR(VLOOKUP(TimeLog[[#This Row],[Project No]],ProjectsList[],2,FALSE),"")</f>
        <v>TRK Engineering Services, Inc.</v>
      </c>
      <c r="E166" s="29" t="str">
        <f>IFERROR(VLOOKUP(TimeLog[[#This Row],[Project No]],ProjectsList[],3,FALSE),"")</f>
        <v>IP - Riverdale, AL BB2</v>
      </c>
      <c r="F166" s="21" t="s">
        <v>145</v>
      </c>
      <c r="G166" s="30">
        <v>11</v>
      </c>
      <c r="H166" s="41" t="s">
        <v>233</v>
      </c>
      <c r="I166" s="40"/>
      <c r="J166" s="43">
        <v>653</v>
      </c>
      <c r="K166" s="30" cm="1">
        <f t="array" ref="K166">IFERROR(VLOOKUP(TimeLog[[#This Row],[Project No]],ProjectsList[],_xlfn.SWITCH(TimeLog[[#This Row],[Type]],"ST",5,"OT",6,"TT",7,"HD",8),FALSE),"")</f>
        <v>165</v>
      </c>
      <c r="L166" s="107">
        <f>IFERROR(TimeLog[[#This Row],[Rate]]*TimeLog[[#This Row],[Hours]],"")</f>
        <v>1815</v>
      </c>
    </row>
    <row r="167" spans="2:12" ht="19.5" customHeight="1" x14ac:dyDescent="0.25">
      <c r="B167" s="27">
        <v>45921</v>
      </c>
      <c r="C167" s="28">
        <v>520</v>
      </c>
      <c r="D167" s="29" t="str">
        <f>IFERROR(VLOOKUP(TimeLog[[#This Row],[Project No]],ProjectsList[],2,FALSE),"")</f>
        <v>TRK Engineering Services, Inc.</v>
      </c>
      <c r="E167" s="29" t="str">
        <f>IFERROR(VLOOKUP(TimeLog[[#This Row],[Project No]],ProjectsList[],3,FALSE),"")</f>
        <v>IP - Riverdale, AL BB2</v>
      </c>
      <c r="F167" s="21" t="s">
        <v>146</v>
      </c>
      <c r="G167" s="30">
        <v>4</v>
      </c>
      <c r="H167" s="41" t="s">
        <v>48</v>
      </c>
      <c r="I167" s="40"/>
      <c r="J167" s="43">
        <v>653</v>
      </c>
      <c r="K167" s="30" cm="1">
        <f t="array" ref="K167">IFERROR(VLOOKUP(TimeLog[[#This Row],[Project No]],ProjectsList[],_xlfn.SWITCH(TimeLog[[#This Row],[Type]],"ST",5,"OT",6,"TT",7,"HD",8),FALSE),"")</f>
        <v>55</v>
      </c>
      <c r="L167" s="107">
        <f>IFERROR(TimeLog[[#This Row],[Rate]]*TimeLog[[#This Row],[Hours]],"")</f>
        <v>220</v>
      </c>
    </row>
    <row r="168" spans="2:12" ht="19.5" customHeight="1" x14ac:dyDescent="0.25">
      <c r="B168" s="27">
        <v>45923</v>
      </c>
      <c r="C168" s="28">
        <v>506</v>
      </c>
      <c r="D168" s="29" t="str">
        <f>IFERROR(VLOOKUP(TimeLog[[#This Row],[Project No]],ProjectsList[],2,FALSE),"")</f>
        <v>TRK Engineering Services, Inc.</v>
      </c>
      <c r="E168" s="29" t="str">
        <f>IFERROR(VLOOKUP(TimeLog[[#This Row],[Project No]],ProjectsList[],3,FALSE),"")</f>
        <v>Suncor Weekly Meetings</v>
      </c>
      <c r="F168" s="21" t="s">
        <v>68</v>
      </c>
      <c r="G168" s="30">
        <v>1</v>
      </c>
      <c r="H168" s="41" t="s">
        <v>47</v>
      </c>
      <c r="I168" s="40"/>
      <c r="J168" s="43">
        <v>655</v>
      </c>
      <c r="K168" s="30" cm="1">
        <f t="array" ref="K168">IFERROR(VLOOKUP(TimeLog[[#This Row],[Project No]],ProjectsList[],_xlfn.SWITCH(TimeLog[[#This Row],[Type]],"ST",5,"OT",6,"TT",7,"HD",8),FALSE),"")</f>
        <v>110</v>
      </c>
      <c r="L168" s="107">
        <f>IFERROR(TimeLog[[#This Row],[Rate]]*TimeLog[[#This Row],[Hours]],"")</f>
        <v>110</v>
      </c>
    </row>
    <row r="169" spans="2:12" ht="19.5" customHeight="1" x14ac:dyDescent="0.25">
      <c r="B169" s="27">
        <v>45930</v>
      </c>
      <c r="C169" s="28">
        <v>507</v>
      </c>
      <c r="D169" s="29" t="str">
        <f>IFERROR(VLOOKUP(TimeLog[[#This Row],[Project No]],ProjectsList[],2,FALSE),"")</f>
        <v>TRK Engineering Services, Inc.</v>
      </c>
      <c r="E169" s="29" t="str">
        <f>IFERROR(VLOOKUP(TimeLog[[#This Row],[Project No]],ProjectsList[],3,FALSE),"")</f>
        <v>Suncor Extra Engineering</v>
      </c>
      <c r="F169" s="21" t="s">
        <v>293</v>
      </c>
      <c r="G169" s="30">
        <v>3</v>
      </c>
      <c r="H169" s="41" t="s">
        <v>47</v>
      </c>
      <c r="I169" s="40"/>
      <c r="J169" s="43">
        <v>657</v>
      </c>
      <c r="K169" s="30" cm="1">
        <f t="array" ref="K169">IFERROR(VLOOKUP(TimeLog[[#This Row],[Project No]],ProjectsList[],_xlfn.SWITCH(TimeLog[[#This Row],[Type]],"ST",5,"OT",6,"TT",7,"HD",8),FALSE),"")</f>
        <v>110</v>
      </c>
      <c r="L169" s="107">
        <f>IFERROR(TimeLog[[#This Row],[Rate]]*TimeLog[[#This Row],[Hours]],"")</f>
        <v>330</v>
      </c>
    </row>
    <row r="170" spans="2:12" ht="19.5" customHeight="1" x14ac:dyDescent="0.25">
      <c r="B170" s="27">
        <v>45932</v>
      </c>
      <c r="C170" s="28">
        <v>520</v>
      </c>
      <c r="D170" s="29" t="str">
        <f>IFERROR(VLOOKUP(TimeLog[[#This Row],[Project No]],ProjectsList[],2,FALSE),"")</f>
        <v>TRK Engineering Services, Inc.</v>
      </c>
      <c r="E170" s="29" t="str">
        <f>IFERROR(VLOOKUP(TimeLog[[#This Row],[Project No]],ProjectsList[],3,FALSE),"")</f>
        <v>IP - Riverdale, AL BB2</v>
      </c>
      <c r="F170" s="21" t="s">
        <v>144</v>
      </c>
      <c r="G170" s="30">
        <v>4</v>
      </c>
      <c r="H170" s="41" t="s">
        <v>48</v>
      </c>
      <c r="I170" s="40"/>
      <c r="J170" s="43">
        <v>653</v>
      </c>
      <c r="K170" s="30" cm="1">
        <f t="array" ref="K170">IFERROR(VLOOKUP(TimeLog[[#This Row],[Project No]],ProjectsList[],_xlfn.SWITCH(TimeLog[[#This Row],[Type]],"ST",5,"OT",6,"TT",7,"HD",8),FALSE),"")</f>
        <v>55</v>
      </c>
      <c r="L170" s="107">
        <f>IFERROR(TimeLog[[#This Row],[Rate]]*TimeLog[[#This Row],[Hours]],"")</f>
        <v>220</v>
      </c>
    </row>
    <row r="171" spans="2:12" ht="19.5" customHeight="1" x14ac:dyDescent="0.25">
      <c r="B171" s="27">
        <v>45932</v>
      </c>
      <c r="C171" s="28">
        <v>520</v>
      </c>
      <c r="D171" s="29" t="str">
        <f>IFERROR(VLOOKUP(TimeLog[[#This Row],[Project No]],ProjectsList[],2,FALSE),"")</f>
        <v>TRK Engineering Services, Inc.</v>
      </c>
      <c r="E171" s="29" t="str">
        <f>IFERROR(VLOOKUP(TimeLog[[#This Row],[Project No]],ProjectsList[],3,FALSE),"")</f>
        <v>IP - Riverdale, AL BB2</v>
      </c>
      <c r="F171" s="21" t="s">
        <v>145</v>
      </c>
      <c r="G171" s="30">
        <v>9</v>
      </c>
      <c r="H171" s="41" t="s">
        <v>47</v>
      </c>
      <c r="I171" s="40"/>
      <c r="J171" s="43">
        <v>653</v>
      </c>
      <c r="K171" s="30" cm="1">
        <f t="array" ref="K171">IFERROR(VLOOKUP(TimeLog[[#This Row],[Project No]],ProjectsList[],_xlfn.SWITCH(TimeLog[[#This Row],[Type]],"ST",5,"OT",6,"TT",7,"HD",8),FALSE),"")</f>
        <v>110</v>
      </c>
      <c r="L171" s="107">
        <f>IFERROR(TimeLog[[#This Row],[Rate]]*TimeLog[[#This Row],[Hours]],"")</f>
        <v>990</v>
      </c>
    </row>
    <row r="172" spans="2:12" ht="19.5" customHeight="1" x14ac:dyDescent="0.25">
      <c r="B172" s="27">
        <v>45932</v>
      </c>
      <c r="C172" s="28">
        <v>520</v>
      </c>
      <c r="D172" s="29" t="str">
        <f>IFERROR(VLOOKUP(TimeLog[[#This Row],[Project No]],ProjectsList[],2,FALSE),"")</f>
        <v>TRK Engineering Services, Inc.</v>
      </c>
      <c r="E172" s="29" t="str">
        <f>IFERROR(VLOOKUP(TimeLog[[#This Row],[Project No]],ProjectsList[],3,FALSE),"")</f>
        <v>IP - Riverdale, AL BB2</v>
      </c>
      <c r="F172" s="21" t="s">
        <v>146</v>
      </c>
      <c r="G172" s="30">
        <v>4</v>
      </c>
      <c r="H172" s="41" t="s">
        <v>48</v>
      </c>
      <c r="I172" s="40"/>
      <c r="J172" s="43">
        <v>653</v>
      </c>
      <c r="K172" s="30" cm="1">
        <f t="array" ref="K172">IFERROR(VLOOKUP(TimeLog[[#This Row],[Project No]],ProjectsList[],_xlfn.SWITCH(TimeLog[[#This Row],[Type]],"ST",5,"OT",6,"TT",7,"HD",8),FALSE),"")</f>
        <v>55</v>
      </c>
      <c r="L172" s="107">
        <f>IFERROR(TimeLog[[#This Row],[Rate]]*TimeLog[[#This Row],[Hours]],"")</f>
        <v>220</v>
      </c>
    </row>
    <row r="173" spans="2:12" ht="19.5" customHeight="1" x14ac:dyDescent="0.25">
      <c r="B173" s="27">
        <v>45935</v>
      </c>
      <c r="C173" s="28">
        <v>519</v>
      </c>
      <c r="D173" s="29" t="str">
        <f>IFERROR(VLOOKUP(TimeLog[[#This Row],[Project No]],ProjectsList[],2,FALSE),"")</f>
        <v>TRK Engineering Services, Inc.</v>
      </c>
      <c r="E173" s="29" t="str">
        <f>IFERROR(VLOOKUP(TimeLog[[#This Row],[Project No]],ProjectsList[],3,FALSE),"")</f>
        <v>IP - Pine Hill, AL</v>
      </c>
      <c r="F173" s="21" t="s">
        <v>298</v>
      </c>
      <c r="G173" s="30">
        <v>8</v>
      </c>
      <c r="H173" s="41" t="s">
        <v>47</v>
      </c>
      <c r="I173" s="40"/>
      <c r="J173" s="43">
        <v>652</v>
      </c>
      <c r="K173" s="30" cm="1">
        <f t="array" ref="K173">IFERROR(VLOOKUP(TimeLog[[#This Row],[Project No]],ProjectsList[],_xlfn.SWITCH(TimeLog[[#This Row],[Type]],"ST",5,"OT",6,"TT",7,"HD",8),FALSE),"")</f>
        <v>110</v>
      </c>
      <c r="L173" s="107">
        <f>IFERROR(TimeLog[[#This Row],[Rate]]*TimeLog[[#This Row],[Hours]],"")</f>
        <v>880</v>
      </c>
    </row>
    <row r="174" spans="2:12" ht="19.5" customHeight="1" x14ac:dyDescent="0.25">
      <c r="B174" s="27">
        <v>45935</v>
      </c>
      <c r="C174" s="28">
        <v>520</v>
      </c>
      <c r="D174" s="29" t="str">
        <f>IFERROR(VLOOKUP(TimeLog[[#This Row],[Project No]],ProjectsList[],2,FALSE),"")</f>
        <v>TRK Engineering Services, Inc.</v>
      </c>
      <c r="E174" s="29" t="str">
        <f>IFERROR(VLOOKUP(TimeLog[[#This Row],[Project No]],ProjectsList[],3,FALSE),"")</f>
        <v>IP - Riverdale, AL BB2</v>
      </c>
      <c r="F174" s="21" t="s">
        <v>298</v>
      </c>
      <c r="G174" s="30">
        <v>8</v>
      </c>
      <c r="H174" s="41" t="s">
        <v>47</v>
      </c>
      <c r="I174" s="40"/>
      <c r="J174" s="43">
        <v>653</v>
      </c>
      <c r="K174" s="30" cm="1">
        <f t="array" ref="K174">IFERROR(VLOOKUP(TimeLog[[#This Row],[Project No]],ProjectsList[],_xlfn.SWITCH(TimeLog[[#This Row],[Type]],"ST",5,"OT",6,"TT",7,"HD",8),FALSE),"")</f>
        <v>110</v>
      </c>
      <c r="L174" s="107">
        <f>IFERROR(TimeLog[[#This Row],[Rate]]*TimeLog[[#This Row],[Hours]],"")</f>
        <v>880</v>
      </c>
    </row>
    <row r="175" spans="2:12" ht="19.5" customHeight="1" x14ac:dyDescent="0.25">
      <c r="B175" s="27">
        <v>45936</v>
      </c>
      <c r="C175" s="28">
        <v>507</v>
      </c>
      <c r="D175" s="29" t="str">
        <f>IFERROR(VLOOKUP(TimeLog[[#This Row],[Project No]],ProjectsList[],2,FALSE),"")</f>
        <v>TRK Engineering Services, Inc.</v>
      </c>
      <c r="E175" s="29" t="str">
        <f>IFERROR(VLOOKUP(TimeLog[[#This Row],[Project No]],ProjectsList[],3,FALSE),"")</f>
        <v>Suncor Extra Engineering</v>
      </c>
      <c r="F175" s="21" t="s">
        <v>301</v>
      </c>
      <c r="G175" s="30">
        <v>2</v>
      </c>
      <c r="H175" s="41" t="s">
        <v>47</v>
      </c>
      <c r="I175" s="40"/>
      <c r="J175" s="43">
        <v>657</v>
      </c>
      <c r="K175" s="30" cm="1">
        <f t="array" ref="K175">IFERROR(VLOOKUP(TimeLog[[#This Row],[Project No]],ProjectsList[],_xlfn.SWITCH(TimeLog[[#This Row],[Type]],"ST",5,"OT",6,"TT",7,"HD",8),FALSE),"")</f>
        <v>110</v>
      </c>
      <c r="L175" s="107">
        <f>IFERROR(TimeLog[[#This Row],[Rate]]*TimeLog[[#This Row],[Hours]],"")</f>
        <v>220</v>
      </c>
    </row>
    <row r="176" spans="2:12" ht="19.5" customHeight="1" x14ac:dyDescent="0.25">
      <c r="B176" s="27">
        <v>45937</v>
      </c>
      <c r="C176" s="28">
        <v>506</v>
      </c>
      <c r="D176" s="29" t="str">
        <f>IFERROR(VLOOKUP(TimeLog[[#This Row],[Project No]],ProjectsList[],2,FALSE),"")</f>
        <v>TRK Engineering Services, Inc.</v>
      </c>
      <c r="E176" s="29" t="str">
        <f>IFERROR(VLOOKUP(TimeLog[[#This Row],[Project No]],ProjectsList[],3,FALSE),"")</f>
        <v>Suncor Weekly Meetings</v>
      </c>
      <c r="F176" s="21" t="s">
        <v>68</v>
      </c>
      <c r="G176" s="30">
        <v>1</v>
      </c>
      <c r="H176" s="41" t="s">
        <v>47</v>
      </c>
      <c r="I176" s="40"/>
      <c r="J176" s="43">
        <v>655</v>
      </c>
      <c r="K176" s="30" cm="1">
        <f t="array" ref="K176">IFERROR(VLOOKUP(TimeLog[[#This Row],[Project No]],ProjectsList[],_xlfn.SWITCH(TimeLog[[#This Row],[Type]],"ST",5,"OT",6,"TT",7,"HD",8),FALSE),"")</f>
        <v>110</v>
      </c>
      <c r="L176" s="107">
        <f>IFERROR(TimeLog[[#This Row],[Rate]]*TimeLog[[#This Row],[Hours]],"")</f>
        <v>110</v>
      </c>
    </row>
    <row r="177" spans="2:12" ht="19.5" customHeight="1" x14ac:dyDescent="0.25">
      <c r="B177" s="27">
        <v>45937</v>
      </c>
      <c r="C177" s="28">
        <v>507</v>
      </c>
      <c r="D177" s="29" t="str">
        <f>IFERROR(VLOOKUP(TimeLog[[#This Row],[Project No]],ProjectsList[],2,FALSE),"")</f>
        <v>TRK Engineering Services, Inc.</v>
      </c>
      <c r="E177" s="29" t="str">
        <f>IFERROR(VLOOKUP(TimeLog[[#This Row],[Project No]],ProjectsList[],3,FALSE),"")</f>
        <v>Suncor Extra Engineering</v>
      </c>
      <c r="F177" s="21" t="s">
        <v>302</v>
      </c>
      <c r="G177" s="30">
        <v>6</v>
      </c>
      <c r="H177" s="41" t="s">
        <v>47</v>
      </c>
      <c r="I177" s="40"/>
      <c r="J177" s="43">
        <v>657</v>
      </c>
      <c r="K177" s="30" cm="1">
        <f t="array" ref="K177">IFERROR(VLOOKUP(TimeLog[[#This Row],[Project No]],ProjectsList[],_xlfn.SWITCH(TimeLog[[#This Row],[Type]],"ST",5,"OT",6,"TT",7,"HD",8),FALSE),"")</f>
        <v>110</v>
      </c>
      <c r="L177" s="107">
        <f>IFERROR(TimeLog[[#This Row],[Rate]]*TimeLog[[#This Row],[Hours]],"")</f>
        <v>660</v>
      </c>
    </row>
    <row r="178" spans="2:12" ht="19.5" customHeight="1" x14ac:dyDescent="0.25">
      <c r="B178" s="27">
        <v>45939</v>
      </c>
      <c r="C178" s="28">
        <v>516</v>
      </c>
      <c r="D178" s="29" t="str">
        <f>IFERROR(VLOOKUP(TimeLog[[#This Row],[Project No]],ProjectsList[],2,FALSE),"")</f>
        <v>TRK Engineering Services, Inc.</v>
      </c>
      <c r="E178" s="29" t="str">
        <f>IFERROR(VLOOKUP(TimeLog[[#This Row],[Project No]],ProjectsList[],3,FALSE),"")</f>
        <v>IP - Rome, GA RB5 &amp; WHB6</v>
      </c>
      <c r="F178" s="21" t="s">
        <v>144</v>
      </c>
      <c r="G178" s="30">
        <v>8</v>
      </c>
      <c r="H178" s="41" t="s">
        <v>48</v>
      </c>
      <c r="I178" s="40"/>
      <c r="J178" s="43">
        <v>654</v>
      </c>
      <c r="K178" s="30" cm="1">
        <f t="array" ref="K178">IFERROR(VLOOKUP(TimeLog[[#This Row],[Project No]],ProjectsList[],_xlfn.SWITCH(TimeLog[[#This Row],[Type]],"ST",5,"OT",6,"TT",7,"HD",8),FALSE),"")</f>
        <v>55</v>
      </c>
      <c r="L178" s="107">
        <f>IFERROR(TimeLog[[#This Row],[Rate]]*TimeLog[[#This Row],[Hours]],"")</f>
        <v>440</v>
      </c>
    </row>
    <row r="179" spans="2:12" ht="19.5" customHeight="1" x14ac:dyDescent="0.25">
      <c r="B179" s="27">
        <v>45940</v>
      </c>
      <c r="C179" s="28">
        <v>516</v>
      </c>
      <c r="D179" s="29" t="str">
        <f>IFERROR(VLOOKUP(TimeLog[[#This Row],[Project No]],ProjectsList[],2,FALSE),"")</f>
        <v>TRK Engineering Services, Inc.</v>
      </c>
      <c r="E179" s="29" t="str">
        <f>IFERROR(VLOOKUP(TimeLog[[#This Row],[Project No]],ProjectsList[],3,FALSE),"")</f>
        <v>IP - Rome, GA RB5 &amp; WHB6</v>
      </c>
      <c r="F179" s="21" t="s">
        <v>145</v>
      </c>
      <c r="G179" s="30">
        <v>10</v>
      </c>
      <c r="H179" s="41" t="s">
        <v>47</v>
      </c>
      <c r="I179" s="40"/>
      <c r="J179" s="43">
        <v>654</v>
      </c>
      <c r="K179" s="30" cm="1">
        <f t="array" ref="K179">IFERROR(VLOOKUP(TimeLog[[#This Row],[Project No]],ProjectsList[],_xlfn.SWITCH(TimeLog[[#This Row],[Type]],"ST",5,"OT",6,"TT",7,"HD",8),FALSE),"")</f>
        <v>110</v>
      </c>
      <c r="L179" s="107">
        <f>IFERROR(TimeLog[[#This Row],[Rate]]*TimeLog[[#This Row],[Hours]],"")</f>
        <v>1100</v>
      </c>
    </row>
    <row r="180" spans="2:12" ht="19.5" customHeight="1" x14ac:dyDescent="0.25">
      <c r="B180" s="27">
        <v>45940</v>
      </c>
      <c r="C180" s="28">
        <v>516</v>
      </c>
      <c r="D180" s="29" t="str">
        <f>IFERROR(VLOOKUP(TimeLog[[#This Row],[Project No]],ProjectsList[],2,FALSE),"")</f>
        <v>TRK Engineering Services, Inc.</v>
      </c>
      <c r="E180" s="29" t="str">
        <f>IFERROR(VLOOKUP(TimeLog[[#This Row],[Project No]],ProjectsList[],3,FALSE),"")</f>
        <v>IP - Rome, GA RB5 &amp; WHB6</v>
      </c>
      <c r="F180" s="21" t="s">
        <v>145</v>
      </c>
      <c r="G180" s="30">
        <v>2</v>
      </c>
      <c r="H180" s="41" t="s">
        <v>233</v>
      </c>
      <c r="I180" s="40"/>
      <c r="J180" s="43">
        <v>654</v>
      </c>
      <c r="K180" s="30" cm="1">
        <f t="array" ref="K180">IFERROR(VLOOKUP(TimeLog[[#This Row],[Project No]],ProjectsList[],_xlfn.SWITCH(TimeLog[[#This Row],[Type]],"ST",5,"OT",6,"TT",7,"HD",8),FALSE),"")</f>
        <v>165</v>
      </c>
      <c r="L180" s="107">
        <f>IFERROR(TimeLog[[#This Row],[Rate]]*TimeLog[[#This Row],[Hours]],"")</f>
        <v>330</v>
      </c>
    </row>
    <row r="181" spans="2:12" ht="19.5" customHeight="1" x14ac:dyDescent="0.25">
      <c r="B181" s="27">
        <v>45941</v>
      </c>
      <c r="C181" s="28">
        <v>516</v>
      </c>
      <c r="D181" s="29" t="str">
        <f>IFERROR(VLOOKUP(TimeLog[[#This Row],[Project No]],ProjectsList[],2,FALSE),"")</f>
        <v>TRK Engineering Services, Inc.</v>
      </c>
      <c r="E181" s="29" t="str">
        <f>IFERROR(VLOOKUP(TimeLog[[#This Row],[Project No]],ProjectsList[],3,FALSE),"")</f>
        <v>IP - Rome, GA RB5 &amp; WHB6</v>
      </c>
      <c r="F181" s="21" t="s">
        <v>145</v>
      </c>
      <c r="G181" s="30">
        <v>12</v>
      </c>
      <c r="H181" s="41" t="s">
        <v>233</v>
      </c>
      <c r="I181" s="40"/>
      <c r="J181" s="43">
        <v>654</v>
      </c>
      <c r="K181" s="30" cm="1">
        <f t="array" ref="K181">IFERROR(VLOOKUP(TimeLog[[#This Row],[Project No]],ProjectsList[],_xlfn.SWITCH(TimeLog[[#This Row],[Type]],"ST",5,"OT",6,"TT",7,"HD",8),FALSE),"")</f>
        <v>165</v>
      </c>
      <c r="L181" s="107">
        <f>IFERROR(TimeLog[[#This Row],[Rate]]*TimeLog[[#This Row],[Hours]],"")</f>
        <v>1980</v>
      </c>
    </row>
    <row r="182" spans="2:12" ht="19.5" customHeight="1" x14ac:dyDescent="0.25">
      <c r="B182" s="27">
        <v>45942</v>
      </c>
      <c r="C182" s="28">
        <v>516</v>
      </c>
      <c r="D182" s="29" t="str">
        <f>IFERROR(VLOOKUP(TimeLog[[#This Row],[Project No]],ProjectsList[],2,FALSE),"")</f>
        <v>TRK Engineering Services, Inc.</v>
      </c>
      <c r="E182" s="29" t="str">
        <f>IFERROR(VLOOKUP(TimeLog[[#This Row],[Project No]],ProjectsList[],3,FALSE),"")</f>
        <v>IP - Rome, GA RB5 &amp; WHB6</v>
      </c>
      <c r="F182" s="21" t="s">
        <v>145</v>
      </c>
      <c r="G182" s="30">
        <v>12</v>
      </c>
      <c r="H182" s="41" t="s">
        <v>233</v>
      </c>
      <c r="I182" s="40"/>
      <c r="J182" s="43">
        <v>654</v>
      </c>
      <c r="K182" s="30" cm="1">
        <f t="array" ref="K182">IFERROR(VLOOKUP(TimeLog[[#This Row],[Project No]],ProjectsList[],_xlfn.SWITCH(TimeLog[[#This Row],[Type]],"ST",5,"OT",6,"TT",7,"HD",8),FALSE),"")</f>
        <v>165</v>
      </c>
      <c r="L182" s="107">
        <f>IFERROR(TimeLog[[#This Row],[Rate]]*TimeLog[[#This Row],[Hours]],"")</f>
        <v>1980</v>
      </c>
    </row>
    <row r="183" spans="2:12" ht="19.5" customHeight="1" x14ac:dyDescent="0.25">
      <c r="B183" s="27">
        <v>45943</v>
      </c>
      <c r="C183" s="28">
        <v>516</v>
      </c>
      <c r="D183" s="29" t="str">
        <f>IFERROR(VLOOKUP(TimeLog[[#This Row],[Project No]],ProjectsList[],2,FALSE),"")</f>
        <v>TRK Engineering Services, Inc.</v>
      </c>
      <c r="E183" s="29" t="str">
        <f>IFERROR(VLOOKUP(TimeLog[[#This Row],[Project No]],ProjectsList[],3,FALSE),"")</f>
        <v>IP - Rome, GA RB5 &amp; WHB6</v>
      </c>
      <c r="F183" s="21" t="s">
        <v>145</v>
      </c>
      <c r="G183" s="30">
        <v>10</v>
      </c>
      <c r="H183" s="41" t="s">
        <v>47</v>
      </c>
      <c r="I183" s="40"/>
      <c r="J183" s="43">
        <v>654</v>
      </c>
      <c r="K183" s="30" cm="1">
        <f t="array" ref="K183">IFERROR(VLOOKUP(TimeLog[[#This Row],[Project No]],ProjectsList[],_xlfn.SWITCH(TimeLog[[#This Row],[Type]],"ST",5,"OT",6,"TT",7,"HD",8),FALSE),"")</f>
        <v>110</v>
      </c>
      <c r="L183" s="107">
        <f>IFERROR(TimeLog[[#This Row],[Rate]]*TimeLog[[#This Row],[Hours]],"")</f>
        <v>1100</v>
      </c>
    </row>
    <row r="184" spans="2:12" ht="19.5" customHeight="1" x14ac:dyDescent="0.25">
      <c r="B184" s="27">
        <v>45943</v>
      </c>
      <c r="C184" s="28">
        <v>516</v>
      </c>
      <c r="D184" s="29" t="str">
        <f>IFERROR(VLOOKUP(TimeLog[[#This Row],[Project No]],ProjectsList[],2,FALSE),"")</f>
        <v>TRK Engineering Services, Inc.</v>
      </c>
      <c r="E184" s="29" t="str">
        <f>IFERROR(VLOOKUP(TimeLog[[#This Row],[Project No]],ProjectsList[],3,FALSE),"")</f>
        <v>IP - Rome, GA RB5 &amp; WHB6</v>
      </c>
      <c r="F184" s="21" t="s">
        <v>145</v>
      </c>
      <c r="G184" s="30">
        <v>2</v>
      </c>
      <c r="H184" s="41" t="s">
        <v>233</v>
      </c>
      <c r="I184" s="40"/>
      <c r="J184" s="43">
        <v>654</v>
      </c>
      <c r="K184" s="30" cm="1">
        <f t="array" ref="K184">IFERROR(VLOOKUP(TimeLog[[#This Row],[Project No]],ProjectsList[],_xlfn.SWITCH(TimeLog[[#This Row],[Type]],"ST",5,"OT",6,"TT",7,"HD",8),FALSE),"")</f>
        <v>165</v>
      </c>
      <c r="L184" s="107">
        <f>IFERROR(TimeLog[[#This Row],[Rate]]*TimeLog[[#This Row],[Hours]],"")</f>
        <v>330</v>
      </c>
    </row>
    <row r="185" spans="2:12" ht="19.5" customHeight="1" x14ac:dyDescent="0.25">
      <c r="B185" s="27">
        <v>45944</v>
      </c>
      <c r="C185" s="28">
        <v>516</v>
      </c>
      <c r="D185" s="29" t="str">
        <f>IFERROR(VLOOKUP(TimeLog[[#This Row],[Project No]],ProjectsList[],2,FALSE),"")</f>
        <v>TRK Engineering Services, Inc.</v>
      </c>
      <c r="E185" s="29" t="str">
        <f>IFERROR(VLOOKUP(TimeLog[[#This Row],[Project No]],ProjectsList[],3,FALSE),"")</f>
        <v>IP - Rome, GA RB5 &amp; WHB6</v>
      </c>
      <c r="F185" s="21" t="s">
        <v>145</v>
      </c>
      <c r="G185" s="30">
        <v>10</v>
      </c>
      <c r="H185" s="41" t="s">
        <v>47</v>
      </c>
      <c r="I185" s="40"/>
      <c r="J185" s="43">
        <v>654</v>
      </c>
      <c r="K185" s="30" cm="1">
        <f t="array" ref="K185">IFERROR(VLOOKUP(TimeLog[[#This Row],[Project No]],ProjectsList[],_xlfn.SWITCH(TimeLog[[#This Row],[Type]],"ST",5,"OT",6,"TT",7,"HD",8),FALSE),"")</f>
        <v>110</v>
      </c>
      <c r="L185" s="107">
        <f>IFERROR(TimeLog[[#This Row],[Rate]]*TimeLog[[#This Row],[Hours]],"")</f>
        <v>1100</v>
      </c>
    </row>
    <row r="186" spans="2:12" ht="19.5" customHeight="1" x14ac:dyDescent="0.25">
      <c r="B186" s="27">
        <v>45944</v>
      </c>
      <c r="C186" s="28">
        <v>516</v>
      </c>
      <c r="D186" s="29" t="str">
        <f>IFERROR(VLOOKUP(TimeLog[[#This Row],[Project No]],ProjectsList[],2,FALSE),"")</f>
        <v>TRK Engineering Services, Inc.</v>
      </c>
      <c r="E186" s="29" t="str">
        <f>IFERROR(VLOOKUP(TimeLog[[#This Row],[Project No]],ProjectsList[],3,FALSE),"")</f>
        <v>IP - Rome, GA RB5 &amp; WHB6</v>
      </c>
      <c r="F186" s="21" t="s">
        <v>145</v>
      </c>
      <c r="G186" s="30">
        <v>2</v>
      </c>
      <c r="H186" s="41" t="s">
        <v>233</v>
      </c>
      <c r="I186" s="40"/>
      <c r="J186" s="43">
        <v>654</v>
      </c>
      <c r="K186" s="30" cm="1">
        <f t="array" ref="K186">IFERROR(VLOOKUP(TimeLog[[#This Row],[Project No]],ProjectsList[],_xlfn.SWITCH(TimeLog[[#This Row],[Type]],"ST",5,"OT",6,"TT",7,"HD",8),FALSE),"")</f>
        <v>165</v>
      </c>
      <c r="L186" s="107">
        <f>IFERROR(TimeLog[[#This Row],[Rate]]*TimeLog[[#This Row],[Hours]],"")</f>
        <v>330</v>
      </c>
    </row>
    <row r="187" spans="2:12" ht="19.5" customHeight="1" x14ac:dyDescent="0.25">
      <c r="B187" s="27">
        <v>45945</v>
      </c>
      <c r="C187" s="28">
        <v>516</v>
      </c>
      <c r="D187" s="29" t="str">
        <f>IFERROR(VLOOKUP(TimeLog[[#This Row],[Project No]],ProjectsList[],2,FALSE),"")</f>
        <v>TRK Engineering Services, Inc.</v>
      </c>
      <c r="E187" s="29" t="str">
        <f>IFERROR(VLOOKUP(TimeLog[[#This Row],[Project No]],ProjectsList[],3,FALSE),"")</f>
        <v>IP - Rome, GA RB5 &amp; WHB6</v>
      </c>
      <c r="F187" s="21" t="s">
        <v>146</v>
      </c>
      <c r="G187" s="30">
        <v>8</v>
      </c>
      <c r="H187" s="41" t="s">
        <v>48</v>
      </c>
      <c r="I187" s="40"/>
      <c r="J187" s="43">
        <v>654</v>
      </c>
      <c r="K187" s="30" cm="1">
        <f t="array" ref="K187">IFERROR(VLOOKUP(TimeLog[[#This Row],[Project No]],ProjectsList[],_xlfn.SWITCH(TimeLog[[#This Row],[Type]],"ST",5,"OT",6,"TT",7,"HD",8),FALSE),"")</f>
        <v>55</v>
      </c>
      <c r="L187" s="107">
        <f>IFERROR(TimeLog[[#This Row],[Rate]]*TimeLog[[#This Row],[Hours]],"")</f>
        <v>440</v>
      </c>
    </row>
    <row r="188" spans="2:12" ht="19.5" customHeight="1" x14ac:dyDescent="0.25">
      <c r="B188" s="27">
        <v>45946</v>
      </c>
      <c r="C188" s="28">
        <v>518</v>
      </c>
      <c r="D188" s="29" t="str">
        <f>IFERROR(VLOOKUP(TimeLog[[#This Row],[Project No]],ProjectsList[],2,FALSE),"")</f>
        <v>TRK Engineering Services, Inc.</v>
      </c>
      <c r="E188" s="29" t="str">
        <f>IFERROR(VLOOKUP(TimeLog[[#This Row],[Project No]],ProjectsList[],3,FALSE),"")</f>
        <v>Small Projects - General Office help</v>
      </c>
      <c r="F188" s="21" t="s">
        <v>303</v>
      </c>
      <c r="G188" s="30">
        <v>6</v>
      </c>
      <c r="H188" s="41" t="s">
        <v>47</v>
      </c>
      <c r="I188" s="40"/>
      <c r="J188" s="43">
        <v>659</v>
      </c>
      <c r="K188" s="30" cm="1">
        <f t="array" ref="K188">IFERROR(VLOOKUP(TimeLog[[#This Row],[Project No]],ProjectsList[],_xlfn.SWITCH(TimeLog[[#This Row],[Type]],"ST",5,"OT",6,"TT",7,"HD",8),FALSE),"")</f>
        <v>110</v>
      </c>
      <c r="L188" s="107">
        <f>IFERROR(TimeLog[[#This Row],[Rate]]*TimeLog[[#This Row],[Hours]],"")</f>
        <v>660</v>
      </c>
    </row>
    <row r="189" spans="2:12" ht="19.5" customHeight="1" x14ac:dyDescent="0.25">
      <c r="B189" s="27">
        <v>45950</v>
      </c>
      <c r="C189" s="28">
        <v>506</v>
      </c>
      <c r="D189" s="29" t="str">
        <f>IFERROR(VLOOKUP(TimeLog[[#This Row],[Project No]],ProjectsList[],2,FALSE),"")</f>
        <v>TRK Engineering Services, Inc.</v>
      </c>
      <c r="E189" s="29" t="str">
        <f>IFERROR(VLOOKUP(TimeLog[[#This Row],[Project No]],ProjectsList[],3,FALSE),"")</f>
        <v>Suncor Weekly Meetings</v>
      </c>
      <c r="F189" s="21" t="s">
        <v>68</v>
      </c>
      <c r="G189" s="30">
        <v>2</v>
      </c>
      <c r="H189" s="41" t="s">
        <v>47</v>
      </c>
      <c r="I189" s="40"/>
      <c r="J189" s="43">
        <v>655</v>
      </c>
      <c r="K189" s="30" cm="1">
        <f t="array" ref="K189">IFERROR(VLOOKUP(TimeLog[[#This Row],[Project No]],ProjectsList[],_xlfn.SWITCH(TimeLog[[#This Row],[Type]],"ST",5,"OT",6,"TT",7,"HD",8),FALSE),"")</f>
        <v>110</v>
      </c>
      <c r="L189" s="107">
        <f>IFERROR(TimeLog[[#This Row],[Rate]]*TimeLog[[#This Row],[Hours]],"")</f>
        <v>220</v>
      </c>
    </row>
    <row r="190" spans="2:12" ht="19.5" customHeight="1" x14ac:dyDescent="0.25">
      <c r="B190" s="27">
        <v>45951</v>
      </c>
      <c r="C190" s="28">
        <v>506</v>
      </c>
      <c r="D190" s="29" t="str">
        <f>IFERROR(VLOOKUP(TimeLog[[#This Row],[Project No]],ProjectsList[],2,FALSE),"")</f>
        <v>TRK Engineering Services, Inc.</v>
      </c>
      <c r="E190" s="29" t="str">
        <f>IFERROR(VLOOKUP(TimeLog[[#This Row],[Project No]],ProjectsList[],3,FALSE),"")</f>
        <v>Suncor Weekly Meetings</v>
      </c>
      <c r="F190" s="21" t="s">
        <v>68</v>
      </c>
      <c r="G190" s="30">
        <v>1</v>
      </c>
      <c r="H190" s="41" t="s">
        <v>47</v>
      </c>
      <c r="I190" s="40"/>
      <c r="J190" s="43">
        <v>655</v>
      </c>
      <c r="K190" s="30" cm="1">
        <f t="array" ref="K190">IFERROR(VLOOKUP(TimeLog[[#This Row],[Project No]],ProjectsList[],_xlfn.SWITCH(TimeLog[[#This Row],[Type]],"ST",5,"OT",6,"TT",7,"HD",8),FALSE),"")</f>
        <v>110</v>
      </c>
      <c r="L190" s="107">
        <f>IFERROR(TimeLog[[#This Row],[Rate]]*TimeLog[[#This Row],[Hours]],"")</f>
        <v>110</v>
      </c>
    </row>
    <row r="191" spans="2:12" ht="19.5" customHeight="1" x14ac:dyDescent="0.25">
      <c r="B191" s="27">
        <v>45952</v>
      </c>
      <c r="C191" s="28">
        <v>518</v>
      </c>
      <c r="D191" s="29" t="str">
        <f>IFERROR(VLOOKUP(TimeLog[[#This Row],[Project No]],ProjectsList[],2,FALSE),"")</f>
        <v>TRK Engineering Services, Inc.</v>
      </c>
      <c r="E191" s="29" t="str">
        <f>IFERROR(VLOOKUP(TimeLog[[#This Row],[Project No]],ProjectsList[],3,FALSE),"")</f>
        <v>Small Projects - General Office help</v>
      </c>
      <c r="F191" s="21" t="s">
        <v>304</v>
      </c>
      <c r="G191" s="30">
        <v>2</v>
      </c>
      <c r="H191" s="41" t="s">
        <v>47</v>
      </c>
      <c r="I191" s="40"/>
      <c r="J191" s="43">
        <v>659</v>
      </c>
      <c r="K191" s="30" cm="1">
        <f t="array" ref="K191">IFERROR(VLOOKUP(TimeLog[[#This Row],[Project No]],ProjectsList[],_xlfn.SWITCH(TimeLog[[#This Row],[Type]],"ST",5,"OT",6,"TT",7,"HD",8),FALSE),"")</f>
        <v>110</v>
      </c>
      <c r="L191" s="107">
        <f>IFERROR(TimeLog[[#This Row],[Rate]]*TimeLog[[#This Row],[Hours]],"")</f>
        <v>220</v>
      </c>
    </row>
    <row r="192" spans="2:12" ht="19.5" customHeight="1" x14ac:dyDescent="0.25">
      <c r="B192" s="27">
        <v>45957</v>
      </c>
      <c r="C192" s="28">
        <v>507</v>
      </c>
      <c r="D192" s="29" t="str">
        <f>IFERROR(VLOOKUP(TimeLog[[#This Row],[Project No]],ProjectsList[],2,FALSE),"")</f>
        <v>TRK Engineering Services, Inc.</v>
      </c>
      <c r="E192" s="29" t="str">
        <f>IFERROR(VLOOKUP(TimeLog[[#This Row],[Project No]],ProjectsList[],3,FALSE),"")</f>
        <v>Suncor Extra Engineering</v>
      </c>
      <c r="F192" s="21" t="s">
        <v>305</v>
      </c>
      <c r="G192" s="30">
        <v>8</v>
      </c>
      <c r="H192" s="41" t="s">
        <v>47</v>
      </c>
      <c r="I192" s="40"/>
      <c r="J192" s="43">
        <v>657</v>
      </c>
      <c r="K192" s="30" cm="1">
        <f t="array" ref="K192">IFERROR(VLOOKUP(TimeLog[[#This Row],[Project No]],ProjectsList[],_xlfn.SWITCH(TimeLog[[#This Row],[Type]],"ST",5,"OT",6,"TT",7,"HD",8),FALSE),"")</f>
        <v>110</v>
      </c>
      <c r="L192" s="107">
        <f>IFERROR(TimeLog[[#This Row],[Rate]]*TimeLog[[#This Row],[Hours]],"")</f>
        <v>880</v>
      </c>
    </row>
    <row r="193" spans="2:12" ht="19.5" customHeight="1" x14ac:dyDescent="0.25">
      <c r="B193" s="27">
        <v>45957</v>
      </c>
      <c r="C193" s="28">
        <v>518</v>
      </c>
      <c r="D193" s="29" t="str">
        <f>IFERROR(VLOOKUP(TimeLog[[#This Row],[Project No]],ProjectsList[],2,FALSE),"")</f>
        <v>TRK Engineering Services, Inc.</v>
      </c>
      <c r="E193" s="29" t="str">
        <f>IFERROR(VLOOKUP(TimeLog[[#This Row],[Project No]],ProjectsList[],3,FALSE),"")</f>
        <v>Small Projects - General Office help</v>
      </c>
      <c r="F193" s="21" t="s">
        <v>306</v>
      </c>
      <c r="G193" s="30">
        <v>2</v>
      </c>
      <c r="H193" s="41" t="s">
        <v>47</v>
      </c>
      <c r="I193" s="40"/>
      <c r="J193" s="43">
        <v>659</v>
      </c>
      <c r="K193" s="30" cm="1">
        <f t="array" ref="K193">IFERROR(VLOOKUP(TimeLog[[#This Row],[Project No]],ProjectsList[],_xlfn.SWITCH(TimeLog[[#This Row],[Type]],"ST",5,"OT",6,"TT",7,"HD",8),FALSE),"")</f>
        <v>110</v>
      </c>
      <c r="L193" s="107">
        <f>IFERROR(TimeLog[[#This Row],[Rate]]*TimeLog[[#This Row],[Hours]],"")</f>
        <v>220</v>
      </c>
    </row>
    <row r="194" spans="2:12" ht="19.5" customHeight="1" x14ac:dyDescent="0.25">
      <c r="B194" s="27">
        <v>45958</v>
      </c>
      <c r="C194" s="28">
        <v>521</v>
      </c>
      <c r="D194" s="29" t="str">
        <f>IFERROR(VLOOKUP(TimeLog[[#This Row],[Project No]],ProjectsList[],2,FALSE),"")</f>
        <v>TRK Engineering Services, Inc.</v>
      </c>
      <c r="E194" s="29" t="str">
        <f>IFERROR(VLOOKUP(TimeLog[[#This Row],[Project No]],ProjectsList[],3,FALSE),"")</f>
        <v>Ardagh Glass, Pevely</v>
      </c>
      <c r="F194" s="21" t="s">
        <v>144</v>
      </c>
      <c r="G194" s="30">
        <v>6</v>
      </c>
      <c r="H194" s="41" t="s">
        <v>48</v>
      </c>
      <c r="I194" s="40"/>
      <c r="J194" s="43">
        <v>658</v>
      </c>
      <c r="K194" s="30" cm="1">
        <f t="array" ref="K194">IFERROR(VLOOKUP(TimeLog[[#This Row],[Project No]],ProjectsList[],_xlfn.SWITCH(TimeLog[[#This Row],[Type]],"ST",5,"OT",6,"TT",7,"HD",8),FALSE),"")</f>
        <v>55</v>
      </c>
      <c r="L194" s="107">
        <f>IFERROR(TimeLog[[#This Row],[Rate]]*TimeLog[[#This Row],[Hours]],"")</f>
        <v>330</v>
      </c>
    </row>
    <row r="195" spans="2:12" ht="19.5" customHeight="1" x14ac:dyDescent="0.25">
      <c r="B195" s="27">
        <v>45959</v>
      </c>
      <c r="C195" s="28">
        <v>521</v>
      </c>
      <c r="D195" s="29" t="str">
        <f>IFERROR(VLOOKUP(TimeLog[[#This Row],[Project No]],ProjectsList[],2,FALSE),"")</f>
        <v>TRK Engineering Services, Inc.</v>
      </c>
      <c r="E195" s="29" t="str">
        <f>IFERROR(VLOOKUP(TimeLog[[#This Row],[Project No]],ProjectsList[],3,FALSE),"")</f>
        <v>Ardagh Glass, Pevely</v>
      </c>
      <c r="F195" s="21" t="s">
        <v>145</v>
      </c>
      <c r="G195" s="30">
        <v>9</v>
      </c>
      <c r="H195" s="41" t="s">
        <v>47</v>
      </c>
      <c r="I195" s="40"/>
      <c r="J195" s="43">
        <v>658</v>
      </c>
      <c r="K195" s="30" cm="1">
        <f t="array" ref="K195">IFERROR(VLOOKUP(TimeLog[[#This Row],[Project No]],ProjectsList[],_xlfn.SWITCH(TimeLog[[#This Row],[Type]],"ST",5,"OT",6,"TT",7,"HD",8),FALSE),"")</f>
        <v>110</v>
      </c>
      <c r="L195" s="107">
        <f>IFERROR(TimeLog[[#This Row],[Rate]]*TimeLog[[#This Row],[Hours]],"")</f>
        <v>990</v>
      </c>
    </row>
    <row r="196" spans="2:12" ht="19.5" customHeight="1" x14ac:dyDescent="0.25">
      <c r="B196" s="27">
        <v>45960</v>
      </c>
      <c r="C196" s="28">
        <v>521</v>
      </c>
      <c r="D196" s="29" t="str">
        <f>IFERROR(VLOOKUP(TimeLog[[#This Row],[Project No]],ProjectsList[],2,FALSE),"")</f>
        <v>TRK Engineering Services, Inc.</v>
      </c>
      <c r="E196" s="29" t="str">
        <f>IFERROR(VLOOKUP(TimeLog[[#This Row],[Project No]],ProjectsList[],3,FALSE),"")</f>
        <v>Ardagh Glass, Pevely</v>
      </c>
      <c r="F196" s="21" t="s">
        <v>146</v>
      </c>
      <c r="G196" s="30">
        <v>6</v>
      </c>
      <c r="H196" s="41" t="s">
        <v>48</v>
      </c>
      <c r="I196" s="40"/>
      <c r="J196" s="43">
        <v>658</v>
      </c>
      <c r="K196" s="30" cm="1">
        <f t="array" ref="K196">IFERROR(VLOOKUP(TimeLog[[#This Row],[Project No]],ProjectsList[],_xlfn.SWITCH(TimeLog[[#This Row],[Type]],"ST",5,"OT",6,"TT",7,"HD",8),FALSE),"")</f>
        <v>55</v>
      </c>
      <c r="L196" s="107">
        <f>IFERROR(TimeLog[[#This Row],[Rate]]*TimeLog[[#This Row],[Hours]],"")</f>
        <v>330</v>
      </c>
    </row>
    <row r="197" spans="2:12" ht="19.5" customHeight="1" x14ac:dyDescent="0.25">
      <c r="B197" s="27">
        <v>45964</v>
      </c>
      <c r="C197" s="28">
        <v>521</v>
      </c>
      <c r="D197" s="29" t="str">
        <f>IFERROR(VLOOKUP(TimeLog[[#This Row],[Project No]],ProjectsList[],2,FALSE),"")</f>
        <v>TRK Engineering Services, Inc.</v>
      </c>
      <c r="E197" s="29" t="str">
        <f>IFERROR(VLOOKUP(TimeLog[[#This Row],[Project No]],ProjectsList[],3,FALSE),"")</f>
        <v>Ardagh Glass, Pevely</v>
      </c>
      <c r="F197" s="21" t="s">
        <v>68</v>
      </c>
      <c r="G197" s="30">
        <v>2</v>
      </c>
      <c r="H197" s="41" t="s">
        <v>47</v>
      </c>
      <c r="I197" s="40"/>
      <c r="J197" s="43">
        <v>658</v>
      </c>
      <c r="K197" s="30" cm="1">
        <f t="array" ref="K197">IFERROR(VLOOKUP(TimeLog[[#This Row],[Project No]],ProjectsList[],_xlfn.SWITCH(TimeLog[[#This Row],[Type]],"ST",5,"OT",6,"TT",7,"HD",8),FALSE),"")</f>
        <v>110</v>
      </c>
      <c r="L197" s="107">
        <f>IFERROR(TimeLog[[#This Row],[Rate]]*TimeLog[[#This Row],[Hours]],"")</f>
        <v>220</v>
      </c>
    </row>
    <row r="198" spans="2:12" ht="19.5" customHeight="1" x14ac:dyDescent="0.25">
      <c r="B198" s="27">
        <v>45965</v>
      </c>
      <c r="C198" s="28">
        <v>521</v>
      </c>
      <c r="D198" s="29" t="str">
        <f>IFERROR(VLOOKUP(TimeLog[[#This Row],[Project No]],ProjectsList[],2,FALSE),"")</f>
        <v>TRK Engineering Services, Inc.</v>
      </c>
      <c r="E198" s="29" t="str">
        <f>IFERROR(VLOOKUP(TimeLog[[#This Row],[Project No]],ProjectsList[],3,FALSE),"")</f>
        <v>Ardagh Glass, Pevely</v>
      </c>
      <c r="F198" s="21" t="s">
        <v>68</v>
      </c>
      <c r="G198" s="30">
        <v>1</v>
      </c>
      <c r="H198" s="41" t="s">
        <v>47</v>
      </c>
      <c r="I198" s="40"/>
      <c r="J198" s="43">
        <v>658</v>
      </c>
      <c r="K198" s="30" cm="1">
        <f t="array" ref="K198">IFERROR(VLOOKUP(TimeLog[[#This Row],[Project No]],ProjectsList[],_xlfn.SWITCH(TimeLog[[#This Row],[Type]],"ST",5,"OT",6,"TT",7,"HD",8),FALSE),"")</f>
        <v>110</v>
      </c>
      <c r="L198" s="107">
        <f>IFERROR(TimeLog[[#This Row],[Rate]]*TimeLog[[#This Row],[Hours]],"")</f>
        <v>110</v>
      </c>
    </row>
    <row r="199" spans="2:12" ht="19.5" customHeight="1" x14ac:dyDescent="0.25">
      <c r="B199" s="27">
        <v>45965</v>
      </c>
      <c r="C199" s="28">
        <v>507</v>
      </c>
      <c r="D199" s="29" t="str">
        <f>IFERROR(VLOOKUP(TimeLog[[#This Row],[Project No]],ProjectsList[],2,FALSE),"")</f>
        <v>TRK Engineering Services, Inc.</v>
      </c>
      <c r="E199" s="29" t="str">
        <f>IFERROR(VLOOKUP(TimeLog[[#This Row],[Project No]],ProjectsList[],3,FALSE),"")</f>
        <v>Suncor Extra Engineering</v>
      </c>
      <c r="F199" s="21" t="s">
        <v>310</v>
      </c>
      <c r="G199" s="30">
        <v>2</v>
      </c>
      <c r="H199" s="41" t="s">
        <v>47</v>
      </c>
      <c r="I199" s="40"/>
      <c r="J199" s="43">
        <v>657</v>
      </c>
      <c r="K199" s="30" cm="1">
        <f t="array" ref="K199">IFERROR(VLOOKUP(TimeLog[[#This Row],[Project No]],ProjectsList[],_xlfn.SWITCH(TimeLog[[#This Row],[Type]],"ST",5,"OT",6,"TT",7,"HD",8),FALSE),"")</f>
        <v>110</v>
      </c>
      <c r="L199" s="107">
        <f>IFERROR(TimeLog[[#This Row],[Rate]]*TimeLog[[#This Row],[Hours]],"")</f>
        <v>220</v>
      </c>
    </row>
    <row r="200" spans="2:12" ht="19.5" customHeight="1" x14ac:dyDescent="0.25">
      <c r="B200" s="27">
        <v>45966</v>
      </c>
      <c r="C200" s="28">
        <v>521</v>
      </c>
      <c r="D200" s="29" t="str">
        <f>IFERROR(VLOOKUP(TimeLog[[#This Row],[Project No]],ProjectsList[],2,FALSE),"")</f>
        <v>TRK Engineering Services, Inc.</v>
      </c>
      <c r="E200" s="29" t="str">
        <f>IFERROR(VLOOKUP(TimeLog[[#This Row],[Project No]],ProjectsList[],3,FALSE),"")</f>
        <v>Ardagh Glass, Pevely</v>
      </c>
      <c r="F200" s="21" t="s">
        <v>144</v>
      </c>
      <c r="G200" s="30">
        <v>9</v>
      </c>
      <c r="H200" s="41" t="s">
        <v>48</v>
      </c>
      <c r="I200" s="40"/>
      <c r="J200" s="43">
        <v>658</v>
      </c>
      <c r="K200" s="30" cm="1">
        <f t="array" ref="K200">IFERROR(VLOOKUP(TimeLog[[#This Row],[Project No]],ProjectsList[],_xlfn.SWITCH(TimeLog[[#This Row],[Type]],"ST",5,"OT",6,"TT",7,"HD",8),FALSE),"")</f>
        <v>55</v>
      </c>
      <c r="L200" s="107">
        <f>IFERROR(TimeLog[[#This Row],[Rate]]*TimeLog[[#This Row],[Hours]],"")</f>
        <v>495</v>
      </c>
    </row>
    <row r="201" spans="2:12" ht="19.5" customHeight="1" x14ac:dyDescent="0.25">
      <c r="B201" s="27">
        <v>45966</v>
      </c>
      <c r="C201" s="28">
        <v>521</v>
      </c>
      <c r="D201" s="29" t="str">
        <f>IFERROR(VLOOKUP(TimeLog[[#This Row],[Project No]],ProjectsList[],2,FALSE),"")</f>
        <v>TRK Engineering Services, Inc.</v>
      </c>
      <c r="E201" s="29" t="str">
        <f>IFERROR(VLOOKUP(TimeLog[[#This Row],[Project No]],ProjectsList[],3,FALSE),"")</f>
        <v>Ardagh Glass, Pevely</v>
      </c>
      <c r="F201" s="21" t="s">
        <v>145</v>
      </c>
      <c r="G201" s="30">
        <v>3</v>
      </c>
      <c r="H201" s="41" t="s">
        <v>47</v>
      </c>
      <c r="I201" s="40"/>
      <c r="J201" s="43">
        <v>658</v>
      </c>
      <c r="K201" s="30" cm="1">
        <f t="array" ref="K201">IFERROR(VLOOKUP(TimeLog[[#This Row],[Project No]],ProjectsList[],_xlfn.SWITCH(TimeLog[[#This Row],[Type]],"ST",5,"OT",6,"TT",7,"HD",8),FALSE),"")</f>
        <v>110</v>
      </c>
      <c r="L201" s="107">
        <f>IFERROR(TimeLog[[#This Row],[Rate]]*TimeLog[[#This Row],[Hours]],"")</f>
        <v>330</v>
      </c>
    </row>
    <row r="202" spans="2:12" ht="19.5" customHeight="1" x14ac:dyDescent="0.25">
      <c r="B202" s="27">
        <v>45967</v>
      </c>
      <c r="C202" s="28">
        <v>521</v>
      </c>
      <c r="D202" s="29" t="str">
        <f>IFERROR(VLOOKUP(TimeLog[[#This Row],[Project No]],ProjectsList[],2,FALSE),"")</f>
        <v>TRK Engineering Services, Inc.</v>
      </c>
      <c r="E202" s="29" t="str">
        <f>IFERROR(VLOOKUP(TimeLog[[#This Row],[Project No]],ProjectsList[],3,FALSE),"")</f>
        <v>Ardagh Glass, Pevely</v>
      </c>
      <c r="F202" s="21" t="s">
        <v>145</v>
      </c>
      <c r="G202" s="30">
        <v>8</v>
      </c>
      <c r="H202" s="41" t="s">
        <v>47</v>
      </c>
      <c r="I202" s="40"/>
      <c r="J202" s="43">
        <v>658</v>
      </c>
      <c r="K202" s="30" cm="1">
        <f t="array" ref="K202">IFERROR(VLOOKUP(TimeLog[[#This Row],[Project No]],ProjectsList[],_xlfn.SWITCH(TimeLog[[#This Row],[Type]],"ST",5,"OT",6,"TT",7,"HD",8),FALSE),"")</f>
        <v>110</v>
      </c>
      <c r="L202" s="107">
        <f>IFERROR(TimeLog[[#This Row],[Rate]]*TimeLog[[#This Row],[Hours]],"")</f>
        <v>880</v>
      </c>
    </row>
    <row r="203" spans="2:12" ht="19.5" customHeight="1" x14ac:dyDescent="0.25">
      <c r="B203" s="27">
        <v>45968</v>
      </c>
      <c r="C203" s="28">
        <v>521</v>
      </c>
      <c r="D203" s="29" t="str">
        <f>IFERROR(VLOOKUP(TimeLog[[#This Row],[Project No]],ProjectsList[],2,FALSE),"")</f>
        <v>TRK Engineering Services, Inc.</v>
      </c>
      <c r="E203" s="29" t="str">
        <f>IFERROR(VLOOKUP(TimeLog[[#This Row],[Project No]],ProjectsList[],3,FALSE),"")</f>
        <v>Ardagh Glass, Pevely</v>
      </c>
      <c r="F203" s="21" t="s">
        <v>145</v>
      </c>
      <c r="G203" s="30">
        <v>3</v>
      </c>
      <c r="H203" s="41" t="s">
        <v>47</v>
      </c>
      <c r="I203" s="40"/>
      <c r="J203" s="43">
        <v>658</v>
      </c>
      <c r="K203" s="30" cm="1">
        <f t="array" ref="K203">IFERROR(VLOOKUP(TimeLog[[#This Row],[Project No]],ProjectsList[],_xlfn.SWITCH(TimeLog[[#This Row],[Type]],"ST",5,"OT",6,"TT",7,"HD",8),FALSE),"")</f>
        <v>110</v>
      </c>
      <c r="L203" s="107">
        <f>IFERROR(TimeLog[[#This Row],[Rate]]*TimeLog[[#This Row],[Hours]],"")</f>
        <v>330</v>
      </c>
    </row>
    <row r="204" spans="2:12" ht="19.5" customHeight="1" x14ac:dyDescent="0.25">
      <c r="B204" s="27">
        <v>45968</v>
      </c>
      <c r="C204" s="28">
        <v>521</v>
      </c>
      <c r="D204" s="29" t="str">
        <f>IFERROR(VLOOKUP(TimeLog[[#This Row],[Project No]],ProjectsList[],2,FALSE),"")</f>
        <v>TRK Engineering Services, Inc.</v>
      </c>
      <c r="E204" s="29" t="str">
        <f>IFERROR(VLOOKUP(TimeLog[[#This Row],[Project No]],ProjectsList[],3,FALSE),"")</f>
        <v>Ardagh Glass, Pevely</v>
      </c>
      <c r="F204" s="21" t="s">
        <v>146</v>
      </c>
      <c r="G204" s="30">
        <v>9</v>
      </c>
      <c r="H204" s="41" t="s">
        <v>48</v>
      </c>
      <c r="I204" s="40"/>
      <c r="J204" s="43">
        <v>658</v>
      </c>
      <c r="K204" s="30" cm="1">
        <f t="array" ref="K204">IFERROR(VLOOKUP(TimeLog[[#This Row],[Project No]],ProjectsList[],_xlfn.SWITCH(TimeLog[[#This Row],[Type]],"ST",5,"OT",6,"TT",7,"HD",8),FALSE),"")</f>
        <v>55</v>
      </c>
      <c r="L204" s="107">
        <f>IFERROR(TimeLog[[#This Row],[Rate]]*TimeLog[[#This Row],[Hours]],"")</f>
        <v>495</v>
      </c>
    </row>
    <row r="205" spans="2:12" ht="19.5" customHeight="1" x14ac:dyDescent="0.25">
      <c r="B205" s="27">
        <v>45974</v>
      </c>
      <c r="C205" s="28">
        <v>507</v>
      </c>
      <c r="D205" s="29" t="str">
        <f>IFERROR(VLOOKUP(TimeLog[[#This Row],[Project No]],ProjectsList[],2,FALSE),"")</f>
        <v>TRK Engineering Services, Inc.</v>
      </c>
      <c r="E205" s="29" t="str">
        <f>IFERROR(VLOOKUP(TimeLog[[#This Row],[Project No]],ProjectsList[],3,FALSE),"")</f>
        <v>Suncor Extra Engineering</v>
      </c>
      <c r="F205" s="21" t="s">
        <v>311</v>
      </c>
      <c r="G205" s="30">
        <v>1</v>
      </c>
      <c r="H205" s="41" t="s">
        <v>47</v>
      </c>
      <c r="I205" s="40"/>
      <c r="J205" s="43">
        <v>657</v>
      </c>
      <c r="K205" s="30" cm="1">
        <f t="array" ref="K205">IFERROR(VLOOKUP(TimeLog[[#This Row],[Project No]],ProjectsList[],_xlfn.SWITCH(TimeLog[[#This Row],[Type]],"ST",5,"OT",6,"TT",7,"HD",8),FALSE),"")</f>
        <v>110</v>
      </c>
      <c r="L205" s="107">
        <f>IFERROR(TimeLog[[#This Row],[Rate]]*TimeLog[[#This Row],[Hours]],"")</f>
        <v>110</v>
      </c>
    </row>
    <row r="206" spans="2:12" ht="19.5" customHeight="1" x14ac:dyDescent="0.25">
      <c r="B206" s="27">
        <v>45974</v>
      </c>
      <c r="C206" s="28">
        <v>516</v>
      </c>
      <c r="D206" s="29" t="str">
        <f>IFERROR(VLOOKUP(TimeLog[[#This Row],[Project No]],ProjectsList[],2,FALSE),"")</f>
        <v>TRK Engineering Services, Inc.</v>
      </c>
      <c r="E206" s="29" t="str">
        <f>IFERROR(VLOOKUP(TimeLog[[#This Row],[Project No]],ProjectsList[],3,FALSE),"")</f>
        <v>IP - Rome, GA RB5 &amp; WHB6</v>
      </c>
      <c r="F206" s="21" t="s">
        <v>201</v>
      </c>
      <c r="G206" s="30">
        <v>5</v>
      </c>
      <c r="H206" s="41" t="s">
        <v>47</v>
      </c>
      <c r="I206" s="40"/>
      <c r="J206" s="43">
        <v>654</v>
      </c>
      <c r="K206" s="30" cm="1">
        <f t="array" ref="K206">IFERROR(VLOOKUP(TimeLog[[#This Row],[Project No]],ProjectsList[],_xlfn.SWITCH(TimeLog[[#This Row],[Type]],"ST",5,"OT",6,"TT",7,"HD",8),FALSE),"")</f>
        <v>110</v>
      </c>
      <c r="L206" s="107">
        <f>IFERROR(TimeLog[[#This Row],[Rate]]*TimeLog[[#This Row],[Hours]],"")</f>
        <v>550</v>
      </c>
    </row>
    <row r="207" spans="2:12" ht="19.5" customHeight="1" x14ac:dyDescent="0.25">
      <c r="B207" s="27">
        <v>45978</v>
      </c>
      <c r="C207" s="28">
        <v>518</v>
      </c>
      <c r="D207" s="29" t="str">
        <f>IFERROR(VLOOKUP(TimeLog[[#This Row],[Project No]],ProjectsList[],2,FALSE),"")</f>
        <v>TRK Engineering Services, Inc.</v>
      </c>
      <c r="E207" s="29" t="str">
        <f>IFERROR(VLOOKUP(TimeLog[[#This Row],[Project No]],ProjectsList[],3,FALSE),"")</f>
        <v>Small Projects - General Office help</v>
      </c>
      <c r="F207" s="21" t="s">
        <v>336</v>
      </c>
      <c r="G207" s="30">
        <v>2</v>
      </c>
      <c r="H207" s="41" t="s">
        <v>47</v>
      </c>
      <c r="I207" s="40"/>
      <c r="J207" s="43">
        <v>661</v>
      </c>
      <c r="K207" s="30" cm="1">
        <f t="array" ref="K207">IFERROR(VLOOKUP(TimeLog[[#This Row],[Project No]],ProjectsList[],_xlfn.SWITCH(TimeLog[[#This Row],[Type]],"ST",5,"OT",6,"TT",7,"HD",8),FALSE),"")</f>
        <v>110</v>
      </c>
      <c r="L207" s="109">
        <f>IFERROR(TimeLog[[#This Row],[Rate]]*TimeLog[[#This Row],[Hours]],"")</f>
        <v>220</v>
      </c>
    </row>
    <row r="208" spans="2:12" ht="19.5" customHeight="1" x14ac:dyDescent="0.25">
      <c r="B208" s="27">
        <v>45979</v>
      </c>
      <c r="C208" s="28">
        <v>521</v>
      </c>
      <c r="D208" s="29" t="str">
        <f>IFERROR(VLOOKUP(TimeLog[[#This Row],[Project No]],ProjectsList[],2,FALSE),"")</f>
        <v>TRK Engineering Services, Inc.</v>
      </c>
      <c r="E208" s="29" t="str">
        <f>IFERROR(VLOOKUP(TimeLog[[#This Row],[Project No]],ProjectsList[],3,FALSE),"")</f>
        <v>Ardagh Glass, Pevely</v>
      </c>
      <c r="F208" s="21" t="s">
        <v>201</v>
      </c>
      <c r="G208" s="30">
        <v>8</v>
      </c>
      <c r="H208" s="41" t="s">
        <v>47</v>
      </c>
      <c r="I208" s="40"/>
      <c r="J208" s="43">
        <v>658</v>
      </c>
      <c r="K208" s="30" cm="1">
        <f t="array" ref="K208">IFERROR(VLOOKUP(TimeLog[[#This Row],[Project No]],ProjectsList[],_xlfn.SWITCH(TimeLog[[#This Row],[Type]],"ST",5,"OT",6,"TT",7,"HD",8),FALSE),"")</f>
        <v>110</v>
      </c>
      <c r="L208" s="107">
        <f>IFERROR(TimeLog[[#This Row],[Rate]]*TimeLog[[#This Row],[Hours]],"")</f>
        <v>880</v>
      </c>
    </row>
    <row r="209" spans="2:12" ht="19.5" customHeight="1" x14ac:dyDescent="0.25">
      <c r="B209" s="27">
        <v>45993</v>
      </c>
      <c r="C209" s="28">
        <v>507</v>
      </c>
      <c r="D209" s="29" t="str">
        <f>IFERROR(VLOOKUP(TimeLog[[#This Row],[Project No]],ProjectsList[],2,FALSE),"")</f>
        <v>TRK Engineering Services, Inc.</v>
      </c>
      <c r="E209" s="29" t="str">
        <f>IFERROR(VLOOKUP(TimeLog[[#This Row],[Project No]],ProjectsList[],3,FALSE),"")</f>
        <v>Suncor Extra Engineering</v>
      </c>
      <c r="F209" s="21" t="s">
        <v>329</v>
      </c>
      <c r="G209" s="30">
        <v>6</v>
      </c>
      <c r="H209" s="41" t="s">
        <v>47</v>
      </c>
      <c r="I209" s="40"/>
      <c r="J209" s="43">
        <v>662</v>
      </c>
      <c r="K209" s="30" cm="1">
        <f t="array" ref="K209">IFERROR(VLOOKUP(TimeLog[[#This Row],[Project No]],ProjectsList[],_xlfn.SWITCH(TimeLog[[#This Row],[Type]],"ST",5,"OT",6,"TT",7,"HD",8),FALSE),"")</f>
        <v>110</v>
      </c>
      <c r="L209" s="107">
        <f>IFERROR(TimeLog[[#This Row],[Rate]]*TimeLog[[#This Row],[Hours]],"")</f>
        <v>660</v>
      </c>
    </row>
    <row r="210" spans="2:12" ht="19.5" customHeight="1" x14ac:dyDescent="0.25">
      <c r="B210" s="27">
        <v>45994</v>
      </c>
      <c r="C210" s="28">
        <v>507</v>
      </c>
      <c r="D210" s="29" t="str">
        <f>IFERROR(VLOOKUP(TimeLog[[#This Row],[Project No]],ProjectsList[],2,FALSE),"")</f>
        <v>TRK Engineering Services, Inc.</v>
      </c>
      <c r="E210" s="29" t="str">
        <f>IFERROR(VLOOKUP(TimeLog[[#This Row],[Project No]],ProjectsList[],3,FALSE),"")</f>
        <v>Suncor Extra Engineering</v>
      </c>
      <c r="F210" s="21" t="s">
        <v>330</v>
      </c>
      <c r="G210" s="30">
        <v>2</v>
      </c>
      <c r="H210" s="41" t="s">
        <v>47</v>
      </c>
      <c r="I210" s="40"/>
      <c r="J210" s="43">
        <v>662</v>
      </c>
      <c r="K210" s="30" cm="1">
        <f t="array" ref="K210">IFERROR(VLOOKUP(TimeLog[[#This Row],[Project No]],ProjectsList[],_xlfn.SWITCH(TimeLog[[#This Row],[Type]],"ST",5,"OT",6,"TT",7,"HD",8),FALSE),"")</f>
        <v>110</v>
      </c>
      <c r="L210" s="107">
        <f>IFERROR(TimeLog[[#This Row],[Rate]]*TimeLog[[#This Row],[Hours]],"")</f>
        <v>220</v>
      </c>
    </row>
    <row r="211" spans="2:12" ht="19.5" customHeight="1" x14ac:dyDescent="0.25">
      <c r="B211" s="27">
        <v>46000</v>
      </c>
      <c r="C211" s="28">
        <v>507</v>
      </c>
      <c r="D211" s="29" t="str">
        <f>IFERROR(VLOOKUP(TimeLog[[#This Row],[Project No]],ProjectsList[],2,FALSE),"")</f>
        <v>TRK Engineering Services, Inc.</v>
      </c>
      <c r="E211" s="29" t="str">
        <f>IFERROR(VLOOKUP(TimeLog[[#This Row],[Project No]],ProjectsList[],3,FALSE),"")</f>
        <v>Suncor Extra Engineering</v>
      </c>
      <c r="F211" s="21" t="s">
        <v>331</v>
      </c>
      <c r="G211" s="30">
        <v>3</v>
      </c>
      <c r="H211" s="41" t="s">
        <v>47</v>
      </c>
      <c r="I211" s="40"/>
      <c r="J211" s="43">
        <v>662</v>
      </c>
      <c r="K211" s="30" cm="1">
        <f t="array" ref="K211">IFERROR(VLOOKUP(TimeLog[[#This Row],[Project No]],ProjectsList[],_xlfn.SWITCH(TimeLog[[#This Row],[Type]],"ST",5,"OT",6,"TT",7,"HD",8),FALSE),"")</f>
        <v>110</v>
      </c>
      <c r="L211" s="107">
        <f>IFERROR(TimeLog[[#This Row],[Rate]]*TimeLog[[#This Row],[Hours]],"")</f>
        <v>330</v>
      </c>
    </row>
    <row r="212" spans="2:12" ht="19.5" customHeight="1" x14ac:dyDescent="0.25">
      <c r="B212" s="27">
        <v>46001</v>
      </c>
      <c r="C212" s="28">
        <v>506</v>
      </c>
      <c r="D212" s="29" t="str">
        <f>IFERROR(VLOOKUP(TimeLog[[#This Row],[Project No]],ProjectsList[],2,FALSE),"")</f>
        <v>TRK Engineering Services, Inc.</v>
      </c>
      <c r="E212" s="29" t="str">
        <f>IFERROR(VLOOKUP(TimeLog[[#This Row],[Project No]],ProjectsList[],3,FALSE),"")</f>
        <v>Suncor Weekly Meetings</v>
      </c>
      <c r="F212" s="21" t="s">
        <v>332</v>
      </c>
      <c r="G212" s="30">
        <v>2</v>
      </c>
      <c r="H212" s="41" t="s">
        <v>47</v>
      </c>
      <c r="I212" s="40"/>
      <c r="J212" s="43">
        <v>662</v>
      </c>
      <c r="K212" s="30" cm="1">
        <f t="array" ref="K212">IFERROR(VLOOKUP(TimeLog[[#This Row],[Project No]],ProjectsList[],_xlfn.SWITCH(TimeLog[[#This Row],[Type]],"ST",5,"OT",6,"TT",7,"HD",8),FALSE),"")</f>
        <v>110</v>
      </c>
      <c r="L212" s="107">
        <f>IFERROR(TimeLog[[#This Row],[Rate]]*TimeLog[[#This Row],[Hours]],"")</f>
        <v>220</v>
      </c>
    </row>
    <row r="213" spans="2:12" ht="19.5" customHeight="1" x14ac:dyDescent="0.25">
      <c r="B213" s="27">
        <v>46006</v>
      </c>
      <c r="C213" s="28">
        <v>507</v>
      </c>
      <c r="D213" s="29" t="str">
        <f>IFERROR(VLOOKUP(TimeLog[[#This Row],[Project No]],ProjectsList[],2,FALSE),"")</f>
        <v>TRK Engineering Services, Inc.</v>
      </c>
      <c r="E213" s="29" t="str">
        <f>IFERROR(VLOOKUP(TimeLog[[#This Row],[Project No]],ProjectsList[],3,FALSE),"")</f>
        <v>Suncor Extra Engineering</v>
      </c>
      <c r="F213" s="21" t="s">
        <v>333</v>
      </c>
      <c r="G213" s="30">
        <v>8</v>
      </c>
      <c r="H213" s="41" t="s">
        <v>48</v>
      </c>
      <c r="I213" s="40"/>
      <c r="J213" s="43">
        <v>662</v>
      </c>
      <c r="K213" s="30" cm="1">
        <f t="array" ref="K213">IFERROR(VLOOKUP(TimeLog[[#This Row],[Project No]],ProjectsList[],_xlfn.SWITCH(TimeLog[[#This Row],[Type]],"ST",5,"OT",6,"TT",7,"HD",8),FALSE),"")</f>
        <v>55</v>
      </c>
      <c r="L213" s="107">
        <f>IFERROR(TimeLog[[#This Row],[Rate]]*TimeLog[[#This Row],[Hours]],"")</f>
        <v>440</v>
      </c>
    </row>
    <row r="214" spans="2:12" ht="19.5" customHeight="1" x14ac:dyDescent="0.25">
      <c r="B214" s="27">
        <v>46007</v>
      </c>
      <c r="C214" s="28">
        <v>507</v>
      </c>
      <c r="D214" s="29" t="str">
        <f>IFERROR(VLOOKUP(TimeLog[[#This Row],[Project No]],ProjectsList[],2,FALSE),"")</f>
        <v>TRK Engineering Services, Inc.</v>
      </c>
      <c r="E214" s="29" t="str">
        <f>IFERROR(VLOOKUP(TimeLog[[#This Row],[Project No]],ProjectsList[],3,FALSE),"")</f>
        <v>Suncor Extra Engineering</v>
      </c>
      <c r="F214" s="21" t="s">
        <v>334</v>
      </c>
      <c r="G214" s="30">
        <v>8</v>
      </c>
      <c r="H214" s="41" t="s">
        <v>47</v>
      </c>
      <c r="I214" s="40"/>
      <c r="J214" s="43">
        <v>662</v>
      </c>
      <c r="K214" s="30" cm="1">
        <f t="array" ref="K214">IFERROR(VLOOKUP(TimeLog[[#This Row],[Project No]],ProjectsList[],_xlfn.SWITCH(TimeLog[[#This Row],[Type]],"ST",5,"OT",6,"TT",7,"HD",8),FALSE),"")</f>
        <v>110</v>
      </c>
      <c r="L214" s="107">
        <f>IFERROR(TimeLog[[#This Row],[Rate]]*TimeLog[[#This Row],[Hours]],"")</f>
        <v>880</v>
      </c>
    </row>
    <row r="215" spans="2:12" ht="19.5" customHeight="1" x14ac:dyDescent="0.25">
      <c r="B215" s="27">
        <v>46008</v>
      </c>
      <c r="C215" s="28">
        <v>507</v>
      </c>
      <c r="D215" s="29" t="str">
        <f>IFERROR(VLOOKUP(TimeLog[[#This Row],[Project No]],ProjectsList[],2,FALSE),"")</f>
        <v>TRK Engineering Services, Inc.</v>
      </c>
      <c r="E215" s="29" t="str">
        <f>IFERROR(VLOOKUP(TimeLog[[#This Row],[Project No]],ProjectsList[],3,FALSE),"")</f>
        <v>Suncor Extra Engineering</v>
      </c>
      <c r="F215" s="21" t="s">
        <v>335</v>
      </c>
      <c r="G215" s="30">
        <v>5</v>
      </c>
      <c r="H215" s="41" t="s">
        <v>47</v>
      </c>
      <c r="I215" s="40"/>
      <c r="J215" s="43">
        <v>662</v>
      </c>
      <c r="K215" s="30" cm="1">
        <f t="array" ref="K215">IFERROR(VLOOKUP(TimeLog[[#This Row],[Project No]],ProjectsList[],_xlfn.SWITCH(TimeLog[[#This Row],[Type]],"ST",5,"OT",6,"TT",7,"HD",8),FALSE),"")</f>
        <v>110</v>
      </c>
      <c r="L215" s="107">
        <f>IFERROR(TimeLog[[#This Row],[Rate]]*TimeLog[[#This Row],[Hours]],"")</f>
        <v>550</v>
      </c>
    </row>
    <row r="216" spans="2:12" ht="19.5" customHeight="1" x14ac:dyDescent="0.25">
      <c r="B216" s="27"/>
      <c r="C216" s="28"/>
      <c r="D216" s="29" t="str">
        <f>IFERROR(VLOOKUP(TimeLog[[#This Row],[Project No]],ProjectsList[],2,FALSE),"")</f>
        <v/>
      </c>
      <c r="E216" s="29" t="str">
        <f>IFERROR(VLOOKUP(TimeLog[[#This Row],[Project No]],ProjectsList[],3,FALSE),"")</f>
        <v/>
      </c>
      <c r="F216" s="21"/>
      <c r="G216" s="30"/>
      <c r="H216" s="41"/>
      <c r="I216" s="40"/>
      <c r="J216" s="43"/>
      <c r="K216" s="30" t="str" cm="1">
        <f t="array" ref="K216">IFERROR(VLOOKUP(TimeLog[[#This Row],[Project No]],ProjectsList[],_xlfn.SWITCH(TimeLog[[#This Row],[Type]],"ST",5,"OT",6,"TT",7,"HD",8),FALSE),"")</f>
        <v/>
      </c>
      <c r="L216" s="107" t="str">
        <f>IFERROR(TimeLog[[#This Row],[Rate]]*TimeLog[[#This Row],[Hours]],"")</f>
        <v/>
      </c>
    </row>
    <row r="217" spans="2:12" ht="19.5" customHeight="1" x14ac:dyDescent="0.25">
      <c r="B217" s="27"/>
      <c r="C217" s="28"/>
      <c r="D217" s="29" t="str">
        <f>IFERROR(VLOOKUP(TimeLog[[#This Row],[Project No]],ProjectsList[],2,FALSE),"")</f>
        <v/>
      </c>
      <c r="E217" s="29" t="str">
        <f>IFERROR(VLOOKUP(TimeLog[[#This Row],[Project No]],ProjectsList[],3,FALSE),"")</f>
        <v/>
      </c>
      <c r="F217" s="21"/>
      <c r="G217" s="30"/>
      <c r="H217" s="41"/>
      <c r="I217" s="40"/>
      <c r="J217" s="43"/>
      <c r="K217" s="30" t="str" cm="1">
        <f t="array" ref="K217">IFERROR(VLOOKUP(TimeLog[[#This Row],[Project No]],ProjectsList[],_xlfn.SWITCH(TimeLog[[#This Row],[Type]],"ST",5,"OT",6,"TT",7,"HD",8),FALSE),"")</f>
        <v/>
      </c>
      <c r="L217" s="107" t="str">
        <f>IFERROR(TimeLog[[#This Row],[Rate]]*TimeLog[[#This Row],[Hours]],"")</f>
        <v/>
      </c>
    </row>
    <row r="218" spans="2:12" ht="19.5" customHeight="1" x14ac:dyDescent="0.25">
      <c r="B218" s="27"/>
      <c r="C218" s="28"/>
      <c r="D218" s="29" t="str">
        <f>IFERROR(VLOOKUP(TimeLog[[#This Row],[Project No]],ProjectsList[],2,FALSE),"")</f>
        <v/>
      </c>
      <c r="E218" s="29" t="str">
        <f>IFERROR(VLOOKUP(TimeLog[[#This Row],[Project No]],ProjectsList[],3,FALSE),"")</f>
        <v/>
      </c>
      <c r="F218" s="21"/>
      <c r="G218" s="30"/>
      <c r="H218" s="41"/>
      <c r="I218" s="40"/>
      <c r="J218" s="43"/>
      <c r="K218" s="30" t="str" cm="1">
        <f t="array" ref="K218">IFERROR(VLOOKUP(TimeLog[[#This Row],[Project No]],ProjectsList[],_xlfn.SWITCH(TimeLog[[#This Row],[Type]],"ST",5,"OT",6,"TT",7,"HD",8),FALSE),"")</f>
        <v/>
      </c>
      <c r="L218" s="107" t="str">
        <f>IFERROR(TimeLog[[#This Row],[Rate]]*TimeLog[[#This Row],[Hours]],"")</f>
        <v/>
      </c>
    </row>
    <row r="219" spans="2:12" ht="19.5" customHeight="1" x14ac:dyDescent="0.25">
      <c r="B219" s="27"/>
      <c r="C219" s="28"/>
      <c r="D219" s="29" t="str">
        <f>IFERROR(VLOOKUP(TimeLog[[#This Row],[Project No]],ProjectsList[],2,FALSE),"")</f>
        <v/>
      </c>
      <c r="E219" s="29" t="str">
        <f>IFERROR(VLOOKUP(TimeLog[[#This Row],[Project No]],ProjectsList[],3,FALSE),"")</f>
        <v/>
      </c>
      <c r="F219" s="21"/>
      <c r="G219" s="30"/>
      <c r="H219" s="41"/>
      <c r="I219" s="40"/>
      <c r="J219" s="43"/>
      <c r="K219" s="30" t="str" cm="1">
        <f t="array" ref="K219">IFERROR(VLOOKUP(TimeLog[[#This Row],[Project No]],ProjectsList[],_xlfn.SWITCH(TimeLog[[#This Row],[Type]],"ST",5,"OT",6,"TT",7,"HD",8),FALSE),"")</f>
        <v/>
      </c>
      <c r="L219" s="107" t="str">
        <f>IFERROR(TimeLog[[#This Row],[Rate]]*TimeLog[[#This Row],[Hours]],"")</f>
        <v/>
      </c>
    </row>
    <row r="220" spans="2:12" ht="19.5" customHeight="1" x14ac:dyDescent="0.25">
      <c r="B220" s="27"/>
      <c r="C220" s="28"/>
      <c r="D220" s="29" t="str">
        <f>IFERROR(VLOOKUP(TimeLog[[#This Row],[Project No]],ProjectsList[],2,FALSE),"")</f>
        <v/>
      </c>
      <c r="E220" s="29" t="str">
        <f>IFERROR(VLOOKUP(TimeLog[[#This Row],[Project No]],ProjectsList[],3,FALSE),"")</f>
        <v/>
      </c>
      <c r="F220" s="21"/>
      <c r="G220" s="30"/>
      <c r="H220" s="41"/>
      <c r="I220" s="40"/>
      <c r="J220" s="43"/>
      <c r="K220" s="30" t="str" cm="1">
        <f t="array" ref="K220">IFERROR(VLOOKUP(TimeLog[[#This Row],[Project No]],ProjectsList[],_xlfn.SWITCH(TimeLog[[#This Row],[Type]],"ST",5,"OT",6,"TT",7,"HD",8),FALSE),"")</f>
        <v/>
      </c>
      <c r="L220" s="107" t="str">
        <f>IFERROR(TimeLog[[#This Row],[Rate]]*TimeLog[[#This Row],[Hours]],"")</f>
        <v/>
      </c>
    </row>
    <row r="221" spans="2:12" ht="19.5" customHeight="1" x14ac:dyDescent="0.25">
      <c r="B221" s="27"/>
      <c r="C221" s="28"/>
      <c r="D221" s="29" t="str">
        <f>IFERROR(VLOOKUP(TimeLog[[#This Row],[Project No]],ProjectsList[],2,FALSE),"")</f>
        <v/>
      </c>
      <c r="E221" s="29" t="str">
        <f>IFERROR(VLOOKUP(TimeLog[[#This Row],[Project No]],ProjectsList[],3,FALSE),"")</f>
        <v/>
      </c>
      <c r="F221" s="21"/>
      <c r="G221" s="30"/>
      <c r="H221" s="41"/>
      <c r="I221" s="40"/>
      <c r="J221" s="43"/>
      <c r="K221" s="30" t="str" cm="1">
        <f t="array" ref="K221">IFERROR(VLOOKUP(TimeLog[[#This Row],[Project No]],ProjectsList[],_xlfn.SWITCH(TimeLog[[#This Row],[Type]],"ST",5,"OT",6,"TT",7,"HD",8),FALSE),"")</f>
        <v/>
      </c>
      <c r="L221" s="107" t="str">
        <f>IFERROR(TimeLog[[#This Row],[Rate]]*TimeLog[[#This Row],[Hours]],"")</f>
        <v/>
      </c>
    </row>
    <row r="222" spans="2:12" ht="19.5" customHeight="1" x14ac:dyDescent="0.25">
      <c r="B222" s="27"/>
      <c r="C222" s="28"/>
      <c r="D222" s="29" t="str">
        <f>IFERROR(VLOOKUP(TimeLog[[#This Row],[Project No]],ProjectsList[],2,FALSE),"")</f>
        <v/>
      </c>
      <c r="E222" s="29" t="str">
        <f>IFERROR(VLOOKUP(TimeLog[[#This Row],[Project No]],ProjectsList[],3,FALSE),"")</f>
        <v/>
      </c>
      <c r="F222" s="21"/>
      <c r="G222" s="30"/>
      <c r="H222" s="41"/>
      <c r="I222" s="40"/>
      <c r="J222" s="43"/>
      <c r="K222" s="30" t="str" cm="1">
        <f t="array" ref="K222">IFERROR(VLOOKUP(TimeLog[[#This Row],[Project No]],ProjectsList[],_xlfn.SWITCH(TimeLog[[#This Row],[Type]],"ST",5,"OT",6,"TT",7,"HD",8),FALSE),"")</f>
        <v/>
      </c>
      <c r="L222" s="107" t="str">
        <f>IFERROR(TimeLog[[#This Row],[Rate]]*TimeLog[[#This Row],[Hours]],"")</f>
        <v/>
      </c>
    </row>
    <row r="223" spans="2:12" ht="19.5" customHeight="1" x14ac:dyDescent="0.25">
      <c r="B223" s="27"/>
      <c r="C223" s="28"/>
      <c r="D223" s="29" t="str">
        <f>IFERROR(VLOOKUP(TimeLog[[#This Row],[Project No]],ProjectsList[],2,FALSE),"")</f>
        <v/>
      </c>
      <c r="E223" s="29" t="str">
        <f>IFERROR(VLOOKUP(TimeLog[[#This Row],[Project No]],ProjectsList[],3,FALSE),"")</f>
        <v/>
      </c>
      <c r="F223" s="21"/>
      <c r="G223" s="30"/>
      <c r="H223" s="41"/>
      <c r="I223" s="40"/>
      <c r="J223" s="43"/>
      <c r="K223" s="30" t="str" cm="1">
        <f t="array" ref="K223">IFERROR(VLOOKUP(TimeLog[[#This Row],[Project No]],ProjectsList[],_xlfn.SWITCH(TimeLog[[#This Row],[Type]],"ST",5,"OT",6,"TT",7,"HD",8),FALSE),"")</f>
        <v/>
      </c>
      <c r="L223" s="107" t="str">
        <f>IFERROR(TimeLog[[#This Row],[Rate]]*TimeLog[[#This Row],[Hours]],"")</f>
        <v/>
      </c>
    </row>
    <row r="224" spans="2:12" ht="19.5" customHeight="1" x14ac:dyDescent="0.25">
      <c r="B224" s="27"/>
      <c r="C224" s="28"/>
      <c r="D224" s="29" t="str">
        <f>IFERROR(VLOOKUP(TimeLog[[#This Row],[Project No]],ProjectsList[],2,FALSE),"")</f>
        <v/>
      </c>
      <c r="E224" s="29" t="str">
        <f>IFERROR(VLOOKUP(TimeLog[[#This Row],[Project No]],ProjectsList[],3,FALSE),"")</f>
        <v/>
      </c>
      <c r="F224" s="21"/>
      <c r="G224" s="30"/>
      <c r="H224" s="41"/>
      <c r="I224" s="40"/>
      <c r="J224" s="43"/>
      <c r="K224" s="30" t="str" cm="1">
        <f t="array" ref="K224">IFERROR(VLOOKUP(TimeLog[[#This Row],[Project No]],ProjectsList[],_xlfn.SWITCH(TimeLog[[#This Row],[Type]],"ST",5,"OT",6,"TT",7,"HD",8),FALSE),"")</f>
        <v/>
      </c>
      <c r="L224" s="107" t="str">
        <f>IFERROR(TimeLog[[#This Row],[Rate]]*TimeLog[[#This Row],[Hours]],"")</f>
        <v/>
      </c>
    </row>
    <row r="225" spans="2:12" ht="19.5" customHeight="1" x14ac:dyDescent="0.25">
      <c r="B225" s="27"/>
      <c r="C225" s="28"/>
      <c r="D225" s="29" t="str">
        <f>IFERROR(VLOOKUP(TimeLog[[#This Row],[Project No]],ProjectsList[],2,FALSE),"")</f>
        <v/>
      </c>
      <c r="E225" s="29" t="str">
        <f>IFERROR(VLOOKUP(TimeLog[[#This Row],[Project No]],ProjectsList[],3,FALSE),"")</f>
        <v/>
      </c>
      <c r="F225" s="21"/>
      <c r="G225" s="30"/>
      <c r="H225" s="41"/>
      <c r="I225" s="40"/>
      <c r="J225" s="43"/>
      <c r="K225" s="30" t="str" cm="1">
        <f t="array" ref="K225">IFERROR(VLOOKUP(TimeLog[[#This Row],[Project No]],ProjectsList[],_xlfn.SWITCH(TimeLog[[#This Row],[Type]],"ST",5,"OT",6,"TT",7,"HD",8),FALSE),"")</f>
        <v/>
      </c>
      <c r="L225" s="107" t="str">
        <f>IFERROR(TimeLog[[#This Row],[Rate]]*TimeLog[[#This Row],[Hours]],"")</f>
        <v/>
      </c>
    </row>
    <row r="226" spans="2:12" ht="19.5" customHeight="1" x14ac:dyDescent="0.25">
      <c r="B226" s="27"/>
      <c r="C226" s="28"/>
      <c r="D226" s="29" t="str">
        <f>IFERROR(VLOOKUP(TimeLog[[#This Row],[Project No]],ProjectsList[],2,FALSE),"")</f>
        <v/>
      </c>
      <c r="E226" s="29" t="str">
        <f>IFERROR(VLOOKUP(TimeLog[[#This Row],[Project No]],ProjectsList[],3,FALSE),"")</f>
        <v/>
      </c>
      <c r="F226" s="21"/>
      <c r="G226" s="30"/>
      <c r="H226" s="41"/>
      <c r="I226" s="40"/>
      <c r="J226" s="43"/>
      <c r="K226" s="30" t="str" cm="1">
        <f t="array" ref="K226">IFERROR(VLOOKUP(TimeLog[[#This Row],[Project No]],ProjectsList[],_xlfn.SWITCH(TimeLog[[#This Row],[Type]],"ST",5,"OT",6,"TT",7,"HD",8),FALSE),"")</f>
        <v/>
      </c>
      <c r="L226" s="107" t="str">
        <f>IFERROR(TimeLog[[#This Row],[Rate]]*TimeLog[[#This Row],[Hours]],"")</f>
        <v/>
      </c>
    </row>
    <row r="227" spans="2:12" ht="19.5" customHeight="1" x14ac:dyDescent="0.25">
      <c r="B227" s="27"/>
      <c r="C227" s="28"/>
      <c r="D227" s="29" t="str">
        <f>IFERROR(VLOOKUP(TimeLog[[#This Row],[Project No]],ProjectsList[],2,FALSE),"")</f>
        <v/>
      </c>
      <c r="E227" s="29" t="str">
        <f>IFERROR(VLOOKUP(TimeLog[[#This Row],[Project No]],ProjectsList[],3,FALSE),"")</f>
        <v/>
      </c>
      <c r="F227" s="21"/>
      <c r="G227" s="30"/>
      <c r="H227" s="41"/>
      <c r="I227" s="40"/>
      <c r="J227" s="43"/>
      <c r="K227" s="30" t="str" cm="1">
        <f t="array" ref="K227">IFERROR(VLOOKUP(TimeLog[[#This Row],[Project No]],ProjectsList[],_xlfn.SWITCH(TimeLog[[#This Row],[Type]],"ST",5,"OT",6,"TT",7,"HD",8),FALSE),"")</f>
        <v/>
      </c>
      <c r="L227" s="107" t="str">
        <f>IFERROR(TimeLog[[#This Row],[Rate]]*TimeLog[[#This Row],[Hours]],"")</f>
        <v/>
      </c>
    </row>
    <row r="228" spans="2:12" ht="19.5" customHeight="1" x14ac:dyDescent="0.25">
      <c r="B228" s="27"/>
      <c r="C228" s="28"/>
      <c r="D228" s="29" t="str">
        <f>IFERROR(VLOOKUP(TimeLog[[#This Row],[Project No]],ProjectsList[],2,FALSE),"")</f>
        <v/>
      </c>
      <c r="E228" s="29" t="str">
        <f>IFERROR(VLOOKUP(TimeLog[[#This Row],[Project No]],ProjectsList[],3,FALSE),"")</f>
        <v/>
      </c>
      <c r="F228" s="21"/>
      <c r="G228" s="30"/>
      <c r="H228" s="41"/>
      <c r="I228" s="40"/>
      <c r="J228" s="43"/>
      <c r="K228" s="30" t="str" cm="1">
        <f t="array" ref="K228">IFERROR(VLOOKUP(TimeLog[[#This Row],[Project No]],ProjectsList[],_xlfn.SWITCH(TimeLog[[#This Row],[Type]],"ST",5,"OT",6,"TT",7,"HD",8),FALSE),"")</f>
        <v/>
      </c>
      <c r="L228" s="107" t="str">
        <f>IFERROR(TimeLog[[#This Row],[Rate]]*TimeLog[[#This Row],[Hours]],"")</f>
        <v/>
      </c>
    </row>
    <row r="229" spans="2:12" ht="19.5" customHeight="1" x14ac:dyDescent="0.25">
      <c r="B229" s="27"/>
      <c r="C229" s="28"/>
      <c r="D229" s="29" t="str">
        <f>IFERROR(VLOOKUP(TimeLog[[#This Row],[Project No]],ProjectsList[],2,FALSE),"")</f>
        <v/>
      </c>
      <c r="E229" s="29" t="str">
        <f>IFERROR(VLOOKUP(TimeLog[[#This Row],[Project No]],ProjectsList[],3,FALSE),"")</f>
        <v/>
      </c>
      <c r="F229" s="21"/>
      <c r="G229" s="30"/>
      <c r="H229" s="41"/>
      <c r="I229" s="40"/>
      <c r="J229" s="43"/>
      <c r="K229" s="30" t="str" cm="1">
        <f t="array" ref="K229">IFERROR(VLOOKUP(TimeLog[[#This Row],[Project No]],ProjectsList[],_xlfn.SWITCH(TimeLog[[#This Row],[Type]],"ST",5,"OT",6,"TT",7,"HD",8),FALSE),"")</f>
        <v/>
      </c>
      <c r="L229" s="107" t="str">
        <f>IFERROR(TimeLog[[#This Row],[Rate]]*TimeLog[[#This Row],[Hours]],"")</f>
        <v/>
      </c>
    </row>
    <row r="230" spans="2:12" ht="19.5" customHeight="1" x14ac:dyDescent="0.25">
      <c r="B230" s="27"/>
      <c r="C230" s="28"/>
      <c r="D230" s="29" t="str">
        <f>IFERROR(VLOOKUP(TimeLog[[#This Row],[Project No]],ProjectsList[],2,FALSE),"")</f>
        <v/>
      </c>
      <c r="E230" s="29" t="str">
        <f>IFERROR(VLOOKUP(TimeLog[[#This Row],[Project No]],ProjectsList[],3,FALSE),"")</f>
        <v/>
      </c>
      <c r="F230" s="21"/>
      <c r="G230" s="30"/>
      <c r="H230" s="41"/>
      <c r="I230" s="40"/>
      <c r="J230" s="43"/>
      <c r="K230" s="30" t="str" cm="1">
        <f t="array" ref="K230">IFERROR(VLOOKUP(TimeLog[[#This Row],[Project No]],ProjectsList[],_xlfn.SWITCH(TimeLog[[#This Row],[Type]],"ST",5,"OT",6,"TT",7,"HD",8),FALSE),"")</f>
        <v/>
      </c>
      <c r="L230" s="107" t="str">
        <f>IFERROR(TimeLog[[#This Row],[Rate]]*TimeLog[[#This Row],[Hours]],"")</f>
        <v/>
      </c>
    </row>
    <row r="231" spans="2:12" ht="19.5" customHeight="1" x14ac:dyDescent="0.25">
      <c r="B231" s="27"/>
      <c r="C231" s="28"/>
      <c r="D231" s="29" t="str">
        <f>IFERROR(VLOOKUP(TimeLog[[#This Row],[Project No]],ProjectsList[],2,FALSE),"")</f>
        <v/>
      </c>
      <c r="E231" s="29" t="str">
        <f>IFERROR(VLOOKUP(TimeLog[[#This Row],[Project No]],ProjectsList[],3,FALSE),"")</f>
        <v/>
      </c>
      <c r="F231" s="21"/>
      <c r="G231" s="30"/>
      <c r="H231" s="41"/>
      <c r="I231" s="40"/>
      <c r="J231" s="43"/>
      <c r="K231" s="30" t="str" cm="1">
        <f t="array" ref="K231">IFERROR(VLOOKUP(TimeLog[[#This Row],[Project No]],ProjectsList[],_xlfn.SWITCH(TimeLog[[#This Row],[Type]],"ST",5,"OT",6,"TT",7,"HD",8),FALSE),"")</f>
        <v/>
      </c>
      <c r="L231" s="107" t="str">
        <f>IFERROR(TimeLog[[#This Row],[Rate]]*TimeLog[[#This Row],[Hours]],"")</f>
        <v/>
      </c>
    </row>
    <row r="232" spans="2:12" ht="19.5" customHeight="1" x14ac:dyDescent="0.25">
      <c r="B232" s="27"/>
      <c r="C232" s="28"/>
      <c r="D232" s="29" t="str">
        <f>IFERROR(VLOOKUP(TimeLog[[#This Row],[Project No]],ProjectsList[],2,FALSE),"")</f>
        <v/>
      </c>
      <c r="E232" s="29" t="str">
        <f>IFERROR(VLOOKUP(TimeLog[[#This Row],[Project No]],ProjectsList[],3,FALSE),"")</f>
        <v/>
      </c>
      <c r="F232" s="21"/>
      <c r="G232" s="30"/>
      <c r="H232" s="41"/>
      <c r="I232" s="40"/>
      <c r="J232" s="43"/>
      <c r="K232" s="30" t="str" cm="1">
        <f t="array" ref="K232">IFERROR(VLOOKUP(TimeLog[[#This Row],[Project No]],ProjectsList[],_xlfn.SWITCH(TimeLog[[#This Row],[Type]],"ST",5,"OT",6,"TT",7,"HD",8),FALSE),"")</f>
        <v/>
      </c>
      <c r="L232" s="107" t="str">
        <f>IFERROR(TimeLog[[#This Row],[Rate]]*TimeLog[[#This Row],[Hours]],"")</f>
        <v/>
      </c>
    </row>
    <row r="233" spans="2:12" ht="19.5" customHeight="1" x14ac:dyDescent="0.25">
      <c r="B233" s="27"/>
      <c r="C233" s="28"/>
      <c r="D233" s="29" t="str">
        <f>IFERROR(VLOOKUP(TimeLog[[#This Row],[Project No]],ProjectsList[],2,FALSE),"")</f>
        <v/>
      </c>
      <c r="E233" s="29" t="str">
        <f>IFERROR(VLOOKUP(TimeLog[[#This Row],[Project No]],ProjectsList[],3,FALSE),"")</f>
        <v/>
      </c>
      <c r="F233" s="21"/>
      <c r="G233" s="30"/>
      <c r="H233" s="41"/>
      <c r="I233" s="40"/>
      <c r="J233" s="43"/>
      <c r="K233" s="30" t="str" cm="1">
        <f t="array" ref="K233">IFERROR(VLOOKUP(TimeLog[[#This Row],[Project No]],ProjectsList[],_xlfn.SWITCH(TimeLog[[#This Row],[Type]],"ST",5,"OT",6,"TT",7,"HD",8),FALSE),"")</f>
        <v/>
      </c>
      <c r="L233" s="107" t="str">
        <f>IFERROR(TimeLog[[#This Row],[Rate]]*TimeLog[[#This Row],[Hours]],"")</f>
        <v/>
      </c>
    </row>
    <row r="234" spans="2:12" ht="19.5" customHeight="1" x14ac:dyDescent="0.25">
      <c r="B234" s="27"/>
      <c r="C234" s="28"/>
      <c r="D234" s="29" t="str">
        <f>IFERROR(VLOOKUP(TimeLog[[#This Row],[Project No]],ProjectsList[],2,FALSE),"")</f>
        <v/>
      </c>
      <c r="E234" s="29" t="str">
        <f>IFERROR(VLOOKUP(TimeLog[[#This Row],[Project No]],ProjectsList[],3,FALSE),"")</f>
        <v/>
      </c>
      <c r="F234" s="21"/>
      <c r="G234" s="30"/>
      <c r="H234" s="41"/>
      <c r="I234" s="40"/>
      <c r="J234" s="43"/>
      <c r="K234" s="30" t="str" cm="1">
        <f t="array" ref="K234">IFERROR(VLOOKUP(TimeLog[[#This Row],[Project No]],ProjectsList[],_xlfn.SWITCH(TimeLog[[#This Row],[Type]],"ST",5,"OT",6,"TT",7,"HD",8),FALSE),"")</f>
        <v/>
      </c>
      <c r="L234" s="107" t="str">
        <f>IFERROR(TimeLog[[#This Row],[Rate]]*TimeLog[[#This Row],[Hours]],"")</f>
        <v/>
      </c>
    </row>
    <row r="235" spans="2:12" ht="19.5" customHeight="1" x14ac:dyDescent="0.25">
      <c r="B235" s="27"/>
      <c r="C235" s="28"/>
      <c r="D235" s="29" t="str">
        <f>IFERROR(VLOOKUP(TimeLog[[#This Row],[Project No]],ProjectsList[],2,FALSE),"")</f>
        <v/>
      </c>
      <c r="E235" s="29" t="str">
        <f>IFERROR(VLOOKUP(TimeLog[[#This Row],[Project No]],ProjectsList[],3,FALSE),"")</f>
        <v/>
      </c>
      <c r="F235" s="21"/>
      <c r="G235" s="30"/>
      <c r="H235" s="41"/>
      <c r="I235" s="40"/>
      <c r="J235" s="43"/>
      <c r="K235" s="30" t="str" cm="1">
        <f t="array" ref="K235">IFERROR(VLOOKUP(TimeLog[[#This Row],[Project No]],ProjectsList[],_xlfn.SWITCH(TimeLog[[#This Row],[Type]],"ST",5,"OT",6,"TT",7,"HD",8),FALSE),"")</f>
        <v/>
      </c>
      <c r="L235" s="107" t="str">
        <f>IFERROR(TimeLog[[#This Row],[Rate]]*TimeLog[[#This Row],[Hours]],"")</f>
        <v/>
      </c>
    </row>
    <row r="236" spans="2:12" ht="19.5" customHeight="1" x14ac:dyDescent="0.25">
      <c r="B236" s="27"/>
      <c r="C236" s="28"/>
      <c r="D236" s="29" t="str">
        <f>IFERROR(VLOOKUP(TimeLog[[#This Row],[Project No]],ProjectsList[],2,FALSE),"")</f>
        <v/>
      </c>
      <c r="E236" s="29" t="str">
        <f>IFERROR(VLOOKUP(TimeLog[[#This Row],[Project No]],ProjectsList[],3,FALSE),"")</f>
        <v/>
      </c>
      <c r="F236" s="21"/>
      <c r="G236" s="30"/>
      <c r="H236" s="41"/>
      <c r="I236" s="40"/>
      <c r="J236" s="43"/>
      <c r="K236" s="30" t="str" cm="1">
        <f t="array" ref="K236">IFERROR(VLOOKUP(TimeLog[[#This Row],[Project No]],ProjectsList[],_xlfn.SWITCH(TimeLog[[#This Row],[Type]],"ST",5,"OT",6,"TT",7,"HD",8),FALSE),"")</f>
        <v/>
      </c>
      <c r="L236" s="107" t="str">
        <f>IFERROR(TimeLog[[#This Row],[Rate]]*TimeLog[[#This Row],[Hours]],"")</f>
        <v/>
      </c>
    </row>
    <row r="237" spans="2:12" ht="19.5" customHeight="1" x14ac:dyDescent="0.25">
      <c r="B237" s="27"/>
      <c r="C237" s="28"/>
      <c r="D237" s="29" t="str">
        <f>IFERROR(VLOOKUP(TimeLog[[#This Row],[Project No]],ProjectsList[],2,FALSE),"")</f>
        <v/>
      </c>
      <c r="E237" s="29" t="str">
        <f>IFERROR(VLOOKUP(TimeLog[[#This Row],[Project No]],ProjectsList[],3,FALSE),"")</f>
        <v/>
      </c>
      <c r="F237" s="21"/>
      <c r="G237" s="30"/>
      <c r="H237" s="41"/>
      <c r="I237" s="40"/>
      <c r="J237" s="43"/>
      <c r="K237" s="30" t="str" cm="1">
        <f t="array" ref="K237">IFERROR(VLOOKUP(TimeLog[[#This Row],[Project No]],ProjectsList[],_xlfn.SWITCH(TimeLog[[#This Row],[Type]],"ST",5,"OT",6,"TT",7,"HD",8),FALSE),"")</f>
        <v/>
      </c>
      <c r="L237" s="107" t="str">
        <f>IFERROR(TimeLog[[#This Row],[Rate]]*TimeLog[[#This Row],[Hours]],"")</f>
        <v/>
      </c>
    </row>
    <row r="238" spans="2:12" ht="19.5" customHeight="1" x14ac:dyDescent="0.25">
      <c r="B238" s="27"/>
      <c r="C238" s="28"/>
      <c r="D238" s="29" t="str">
        <f>IFERROR(VLOOKUP(TimeLog[[#This Row],[Project No]],ProjectsList[],2,FALSE),"")</f>
        <v/>
      </c>
      <c r="E238" s="29" t="str">
        <f>IFERROR(VLOOKUP(TimeLog[[#This Row],[Project No]],ProjectsList[],3,FALSE),"")</f>
        <v/>
      </c>
      <c r="F238" s="21"/>
      <c r="G238" s="30"/>
      <c r="H238" s="41"/>
      <c r="I238" s="40"/>
      <c r="J238" s="43"/>
      <c r="K238" s="30" t="str" cm="1">
        <f t="array" ref="K238">IFERROR(VLOOKUP(TimeLog[[#This Row],[Project No]],ProjectsList[],_xlfn.SWITCH(TimeLog[[#This Row],[Type]],"ST",5,"OT",6,"TT",7,"HD",8),FALSE),"")</f>
        <v/>
      </c>
      <c r="L238" s="107" t="str">
        <f>IFERROR(TimeLog[[#This Row],[Rate]]*TimeLog[[#This Row],[Hours]],"")</f>
        <v/>
      </c>
    </row>
    <row r="239" spans="2:12" ht="19.5" customHeight="1" x14ac:dyDescent="0.25">
      <c r="B239" s="27"/>
      <c r="C239" s="28"/>
      <c r="D239" s="29" t="str">
        <f>IFERROR(VLOOKUP(TimeLog[[#This Row],[Project No]],ProjectsList[],2,FALSE),"")</f>
        <v/>
      </c>
      <c r="E239" s="29" t="str">
        <f>IFERROR(VLOOKUP(TimeLog[[#This Row],[Project No]],ProjectsList[],3,FALSE),"")</f>
        <v/>
      </c>
      <c r="F239" s="21"/>
      <c r="G239" s="30"/>
      <c r="H239" s="41"/>
      <c r="I239" s="40"/>
      <c r="J239" s="43"/>
      <c r="K239" s="30" t="str" cm="1">
        <f t="array" ref="K239">IFERROR(VLOOKUP(TimeLog[[#This Row],[Project No]],ProjectsList[],_xlfn.SWITCH(TimeLog[[#This Row],[Type]],"ST",5,"OT",6,"TT",7,"HD",8),FALSE),"")</f>
        <v/>
      </c>
      <c r="L239" s="107" t="str">
        <f>IFERROR(TimeLog[[#This Row],[Rate]]*TimeLog[[#This Row],[Hours]],"")</f>
        <v/>
      </c>
    </row>
    <row r="240" spans="2:12" ht="19.5" customHeight="1" x14ac:dyDescent="0.25">
      <c r="B240" s="27"/>
      <c r="C240" s="28"/>
      <c r="D240" s="29" t="str">
        <f>IFERROR(VLOOKUP(TimeLog[[#This Row],[Project No]],ProjectsList[],2,FALSE),"")</f>
        <v/>
      </c>
      <c r="E240" s="29" t="str">
        <f>IFERROR(VLOOKUP(TimeLog[[#This Row],[Project No]],ProjectsList[],3,FALSE),"")</f>
        <v/>
      </c>
      <c r="F240" s="21"/>
      <c r="G240" s="30"/>
      <c r="H240" s="41"/>
      <c r="I240" s="40"/>
      <c r="J240" s="43"/>
      <c r="K240" s="30" t="str" cm="1">
        <f t="array" ref="K240">IFERROR(VLOOKUP(TimeLog[[#This Row],[Project No]],ProjectsList[],_xlfn.SWITCH(TimeLog[[#This Row],[Type]],"ST",5,"OT",6,"TT",7,"HD",8),FALSE),"")</f>
        <v/>
      </c>
      <c r="L240" s="107" t="str">
        <f>IFERROR(TimeLog[[#This Row],[Rate]]*TimeLog[[#This Row],[Hours]],"")</f>
        <v/>
      </c>
    </row>
    <row r="241" spans="2:12" ht="19.5" customHeight="1" x14ac:dyDescent="0.25">
      <c r="B241" s="27"/>
      <c r="C241" s="28"/>
      <c r="D241" s="29" t="str">
        <f>IFERROR(VLOOKUP(TimeLog[[#This Row],[Project No]],ProjectsList[],2,FALSE),"")</f>
        <v/>
      </c>
      <c r="E241" s="29" t="str">
        <f>IFERROR(VLOOKUP(TimeLog[[#This Row],[Project No]],ProjectsList[],3,FALSE),"")</f>
        <v/>
      </c>
      <c r="F241" s="21"/>
      <c r="G241" s="30"/>
      <c r="H241" s="41"/>
      <c r="I241" s="40"/>
      <c r="J241" s="43"/>
      <c r="K241" s="30" t="str" cm="1">
        <f t="array" ref="K241">IFERROR(VLOOKUP(TimeLog[[#This Row],[Project No]],ProjectsList[],_xlfn.SWITCH(TimeLog[[#This Row],[Type]],"ST",5,"OT",6,"TT",7,"HD",8),FALSE),"")</f>
        <v/>
      </c>
      <c r="L241" s="107" t="str">
        <f>IFERROR(TimeLog[[#This Row],[Rate]]*TimeLog[[#This Row],[Hours]],"")</f>
        <v/>
      </c>
    </row>
    <row r="242" spans="2:12" ht="19.5" customHeight="1" x14ac:dyDescent="0.25">
      <c r="B242" s="27"/>
      <c r="C242" s="28"/>
      <c r="D242" s="29" t="str">
        <f>IFERROR(VLOOKUP(TimeLog[[#This Row],[Project No]],ProjectsList[],2,FALSE),"")</f>
        <v/>
      </c>
      <c r="E242" s="29" t="str">
        <f>IFERROR(VLOOKUP(TimeLog[[#This Row],[Project No]],ProjectsList[],3,FALSE),"")</f>
        <v/>
      </c>
      <c r="F242" s="21"/>
      <c r="G242" s="30"/>
      <c r="H242" s="41"/>
      <c r="I242" s="40"/>
      <c r="J242" s="43"/>
      <c r="K242" s="30" t="str" cm="1">
        <f t="array" ref="K242">IFERROR(VLOOKUP(TimeLog[[#This Row],[Project No]],ProjectsList[],_xlfn.SWITCH(TimeLog[[#This Row],[Type]],"ST",5,"OT",6,"TT",7,"HD",8),FALSE),"")</f>
        <v/>
      </c>
      <c r="L242" s="107" t="str">
        <f>IFERROR(TimeLog[[#This Row],[Rate]]*TimeLog[[#This Row],[Hours]],"")</f>
        <v/>
      </c>
    </row>
    <row r="243" spans="2:12" ht="19.5" customHeight="1" x14ac:dyDescent="0.25">
      <c r="B243" s="27"/>
      <c r="C243" s="28"/>
      <c r="D243" s="29" t="str">
        <f>IFERROR(VLOOKUP(TimeLog[[#This Row],[Project No]],ProjectsList[],2,FALSE),"")</f>
        <v/>
      </c>
      <c r="E243" s="29" t="str">
        <f>IFERROR(VLOOKUP(TimeLog[[#This Row],[Project No]],ProjectsList[],3,FALSE),"")</f>
        <v/>
      </c>
      <c r="F243" s="21"/>
      <c r="G243" s="30"/>
      <c r="H243" s="41"/>
      <c r="I243" s="40"/>
      <c r="J243" s="43"/>
      <c r="K243" s="30" t="str" cm="1">
        <f t="array" ref="K243">IFERROR(VLOOKUP(TimeLog[[#This Row],[Project No]],ProjectsList[],_xlfn.SWITCH(TimeLog[[#This Row],[Type]],"ST",5,"OT",6,"TT",7,"HD",8),FALSE),"")</f>
        <v/>
      </c>
      <c r="L243" s="107" t="str">
        <f>IFERROR(TimeLog[[#This Row],[Rate]]*TimeLog[[#This Row],[Hours]],"")</f>
        <v/>
      </c>
    </row>
    <row r="244" spans="2:12" ht="19.5" customHeight="1" x14ac:dyDescent="0.25">
      <c r="B244" s="27"/>
      <c r="C244" s="28"/>
      <c r="D244" s="29" t="str">
        <f>IFERROR(VLOOKUP(TimeLog[[#This Row],[Project No]],ProjectsList[],2,FALSE),"")</f>
        <v/>
      </c>
      <c r="E244" s="29" t="str">
        <f>IFERROR(VLOOKUP(TimeLog[[#This Row],[Project No]],ProjectsList[],3,FALSE),"")</f>
        <v/>
      </c>
      <c r="F244" s="21"/>
      <c r="G244" s="30"/>
      <c r="H244" s="41"/>
      <c r="I244" s="40"/>
      <c r="J244" s="43"/>
      <c r="K244" s="30" t="str" cm="1">
        <f t="array" ref="K244">IFERROR(VLOOKUP(TimeLog[[#This Row],[Project No]],ProjectsList[],_xlfn.SWITCH(TimeLog[[#This Row],[Type]],"ST",5,"OT",6,"TT",7,"HD",8),FALSE),"")</f>
        <v/>
      </c>
      <c r="L244" s="107" t="str">
        <f>IFERROR(TimeLog[[#This Row],[Rate]]*TimeLog[[#This Row],[Hours]],"")</f>
        <v/>
      </c>
    </row>
    <row r="245" spans="2:12" ht="19.5" customHeight="1" x14ac:dyDescent="0.25">
      <c r="B245" s="27"/>
      <c r="C245" s="28"/>
      <c r="D245" s="29" t="str">
        <f>IFERROR(VLOOKUP(TimeLog[[#This Row],[Project No]],ProjectsList[],2,FALSE),"")</f>
        <v/>
      </c>
      <c r="E245" s="29" t="str">
        <f>IFERROR(VLOOKUP(TimeLog[[#This Row],[Project No]],ProjectsList[],3,FALSE),"")</f>
        <v/>
      </c>
      <c r="F245" s="21"/>
      <c r="G245" s="30"/>
      <c r="H245" s="41"/>
      <c r="I245" s="40"/>
      <c r="J245" s="43"/>
      <c r="K245" s="30" t="str" cm="1">
        <f t="array" ref="K245">IFERROR(VLOOKUP(TimeLog[[#This Row],[Project No]],ProjectsList[],_xlfn.SWITCH(TimeLog[[#This Row],[Type]],"ST",5,"OT",6,"TT",7,"HD",8),FALSE),"")</f>
        <v/>
      </c>
      <c r="L245" s="107" t="str">
        <f>IFERROR(TimeLog[[#This Row],[Rate]]*TimeLog[[#This Row],[Hours]],"")</f>
        <v/>
      </c>
    </row>
    <row r="246" spans="2:12" ht="19.5" customHeight="1" x14ac:dyDescent="0.25">
      <c r="B246" s="27"/>
      <c r="C246" s="28"/>
      <c r="D246" s="29" t="str">
        <f>IFERROR(VLOOKUP(TimeLog[[#This Row],[Project No]],ProjectsList[],2,FALSE),"")</f>
        <v/>
      </c>
      <c r="E246" s="29" t="str">
        <f>IFERROR(VLOOKUP(TimeLog[[#This Row],[Project No]],ProjectsList[],3,FALSE),"")</f>
        <v/>
      </c>
      <c r="F246" s="21"/>
      <c r="G246" s="30"/>
      <c r="H246" s="41"/>
      <c r="I246" s="40"/>
      <c r="J246" s="43"/>
      <c r="K246" s="30" t="str" cm="1">
        <f t="array" ref="K246">IFERROR(VLOOKUP(TimeLog[[#This Row],[Project No]],ProjectsList[],_xlfn.SWITCH(TimeLog[[#This Row],[Type]],"ST",5,"OT",6,"TT",7,"HD",8),FALSE),"")</f>
        <v/>
      </c>
      <c r="L246" s="107" t="str">
        <f>IFERROR(TimeLog[[#This Row],[Rate]]*TimeLog[[#This Row],[Hours]],"")</f>
        <v/>
      </c>
    </row>
    <row r="247" spans="2:12" ht="19.5" customHeight="1" x14ac:dyDescent="0.25">
      <c r="B247" s="27"/>
      <c r="C247" s="28"/>
      <c r="D247" s="29" t="str">
        <f>IFERROR(VLOOKUP(TimeLog[[#This Row],[Project No]],ProjectsList[],2,FALSE),"")</f>
        <v/>
      </c>
      <c r="E247" s="29" t="str">
        <f>IFERROR(VLOOKUP(TimeLog[[#This Row],[Project No]],ProjectsList[],3,FALSE),"")</f>
        <v/>
      </c>
      <c r="F247" s="21"/>
      <c r="G247" s="30"/>
      <c r="H247" s="41"/>
      <c r="I247" s="40"/>
      <c r="J247" s="43"/>
      <c r="K247" s="30" t="str" cm="1">
        <f t="array" ref="K247">IFERROR(VLOOKUP(TimeLog[[#This Row],[Project No]],ProjectsList[],_xlfn.SWITCH(TimeLog[[#This Row],[Type]],"ST",5,"OT",6,"TT",7,"HD",8),FALSE),"")</f>
        <v/>
      </c>
      <c r="L247" s="107" t="str">
        <f>IFERROR(TimeLog[[#This Row],[Rate]]*TimeLog[[#This Row],[Hours]],"")</f>
        <v/>
      </c>
    </row>
    <row r="248" spans="2:12" ht="19.5" customHeight="1" x14ac:dyDescent="0.25">
      <c r="B248" s="27"/>
      <c r="C248" s="28"/>
      <c r="D248" s="29" t="str">
        <f>IFERROR(VLOOKUP(TimeLog[[#This Row],[Project No]],ProjectsList[],2,FALSE),"")</f>
        <v/>
      </c>
      <c r="E248" s="29" t="str">
        <f>IFERROR(VLOOKUP(TimeLog[[#This Row],[Project No]],ProjectsList[],3,FALSE),"")</f>
        <v/>
      </c>
      <c r="F248" s="21"/>
      <c r="G248" s="30"/>
      <c r="H248" s="41"/>
      <c r="I248" s="40"/>
      <c r="J248" s="43"/>
      <c r="K248" s="30" t="str" cm="1">
        <f t="array" ref="K248">IFERROR(VLOOKUP(TimeLog[[#This Row],[Project No]],ProjectsList[],_xlfn.SWITCH(TimeLog[[#This Row],[Type]],"ST",5,"OT",6,"TT",7,"HD",8),FALSE),"")</f>
        <v/>
      </c>
      <c r="L248" s="107" t="str">
        <f>IFERROR(TimeLog[[#This Row],[Rate]]*TimeLog[[#This Row],[Hours]],"")</f>
        <v/>
      </c>
    </row>
    <row r="249" spans="2:12" ht="19.5" customHeight="1" x14ac:dyDescent="0.25">
      <c r="B249" s="27"/>
      <c r="C249" s="28"/>
      <c r="D249" s="29" t="str">
        <f>IFERROR(VLOOKUP(TimeLog[[#This Row],[Project No]],ProjectsList[],2,FALSE),"")</f>
        <v/>
      </c>
      <c r="E249" s="29" t="str">
        <f>IFERROR(VLOOKUP(TimeLog[[#This Row],[Project No]],ProjectsList[],3,FALSE),"")</f>
        <v/>
      </c>
      <c r="F249" s="21"/>
      <c r="G249" s="30"/>
      <c r="H249" s="41"/>
      <c r="I249" s="40"/>
      <c r="J249" s="43"/>
      <c r="K249" s="30" t="str" cm="1">
        <f t="array" ref="K249">IFERROR(VLOOKUP(TimeLog[[#This Row],[Project No]],ProjectsList[],_xlfn.SWITCH(TimeLog[[#This Row],[Type]],"ST",5,"OT",6,"TT",7,"HD",8),FALSE),"")</f>
        <v/>
      </c>
      <c r="L249" s="107" t="str">
        <f>IFERROR(TimeLog[[#This Row],[Rate]]*TimeLog[[#This Row],[Hours]],"")</f>
        <v/>
      </c>
    </row>
    <row r="250" spans="2:12" ht="19.5" customHeight="1" x14ac:dyDescent="0.25">
      <c r="B250" s="27"/>
      <c r="C250" s="28"/>
      <c r="D250" s="29" t="str">
        <f>IFERROR(VLOOKUP(TimeLog[[#This Row],[Project No]],ProjectsList[],2,FALSE),"")</f>
        <v/>
      </c>
      <c r="E250" s="29" t="str">
        <f>IFERROR(VLOOKUP(TimeLog[[#This Row],[Project No]],ProjectsList[],3,FALSE),"")</f>
        <v/>
      </c>
      <c r="F250" s="21"/>
      <c r="G250" s="30"/>
      <c r="H250" s="41"/>
      <c r="I250" s="40"/>
      <c r="J250" s="43"/>
      <c r="K250" s="30" t="str" cm="1">
        <f t="array" ref="K250">IFERROR(VLOOKUP(TimeLog[[#This Row],[Project No]],ProjectsList[],_xlfn.SWITCH(TimeLog[[#This Row],[Type]],"ST",5,"OT",6,"TT",7,"HD",8),FALSE),"")</f>
        <v/>
      </c>
      <c r="L250" s="107" t="str">
        <f>IFERROR(TimeLog[[#This Row],[Rate]]*TimeLog[[#This Row],[Hours]],"")</f>
        <v/>
      </c>
    </row>
    <row r="251" spans="2:12" ht="19.5" customHeight="1" x14ac:dyDescent="0.25">
      <c r="B251" s="27"/>
      <c r="C251" s="28"/>
      <c r="D251" s="29" t="str">
        <f>IFERROR(VLOOKUP(TimeLog[[#This Row],[Project No]],ProjectsList[],2,FALSE),"")</f>
        <v/>
      </c>
      <c r="E251" s="29" t="str">
        <f>IFERROR(VLOOKUP(TimeLog[[#This Row],[Project No]],ProjectsList[],3,FALSE),"")</f>
        <v/>
      </c>
      <c r="F251" s="21"/>
      <c r="G251" s="30"/>
      <c r="H251" s="41"/>
      <c r="I251" s="40"/>
      <c r="J251" s="43"/>
      <c r="K251" s="30" t="str" cm="1">
        <f t="array" ref="K251">IFERROR(VLOOKUP(TimeLog[[#This Row],[Project No]],ProjectsList[],_xlfn.SWITCH(TimeLog[[#This Row],[Type]],"ST",5,"OT",6,"TT",7,"HD",8),FALSE),"")</f>
        <v/>
      </c>
      <c r="L251" s="107" t="str">
        <f>IFERROR(TimeLog[[#This Row],[Rate]]*TimeLog[[#This Row],[Hours]],"")</f>
        <v/>
      </c>
    </row>
    <row r="252" spans="2:12" ht="19.5" customHeight="1" x14ac:dyDescent="0.25">
      <c r="B252" s="27"/>
      <c r="C252" s="28"/>
      <c r="D252" s="29" t="str">
        <f>IFERROR(VLOOKUP(TimeLog[[#This Row],[Project No]],ProjectsList[],2,FALSE),"")</f>
        <v/>
      </c>
      <c r="E252" s="29" t="str">
        <f>IFERROR(VLOOKUP(TimeLog[[#This Row],[Project No]],ProjectsList[],3,FALSE),"")</f>
        <v/>
      </c>
      <c r="F252" s="21"/>
      <c r="G252" s="30"/>
      <c r="H252" s="41"/>
      <c r="I252" s="40"/>
      <c r="J252" s="43"/>
      <c r="K252" s="30" t="str" cm="1">
        <f t="array" ref="K252">IFERROR(VLOOKUP(TimeLog[[#This Row],[Project No]],ProjectsList[],_xlfn.SWITCH(TimeLog[[#This Row],[Type]],"ST",5,"OT",6,"TT",7,"HD",8),FALSE),"")</f>
        <v/>
      </c>
      <c r="L252" s="107" t="str">
        <f>IFERROR(TimeLog[[#This Row],[Rate]]*TimeLog[[#This Row],[Hours]],"")</f>
        <v/>
      </c>
    </row>
    <row r="253" spans="2:12" ht="19.5" customHeight="1" x14ac:dyDescent="0.25">
      <c r="B253" s="27"/>
      <c r="C253" s="28"/>
      <c r="D253" s="29" t="str">
        <f>IFERROR(VLOOKUP(TimeLog[[#This Row],[Project No]],ProjectsList[],2,FALSE),"")</f>
        <v/>
      </c>
      <c r="E253" s="29" t="str">
        <f>IFERROR(VLOOKUP(TimeLog[[#This Row],[Project No]],ProjectsList[],3,FALSE),"")</f>
        <v/>
      </c>
      <c r="F253" s="21"/>
      <c r="G253" s="30"/>
      <c r="H253" s="41"/>
      <c r="I253" s="40"/>
      <c r="J253" s="43"/>
      <c r="K253" s="30" t="str" cm="1">
        <f t="array" ref="K253">IFERROR(VLOOKUP(TimeLog[[#This Row],[Project No]],ProjectsList[],_xlfn.SWITCH(TimeLog[[#This Row],[Type]],"ST",5,"OT",6,"TT",7,"HD",8),FALSE),"")</f>
        <v/>
      </c>
      <c r="L253" s="107" t="str">
        <f>IFERROR(TimeLog[[#This Row],[Rate]]*TimeLog[[#This Row],[Hours]],"")</f>
        <v/>
      </c>
    </row>
    <row r="254" spans="2:12" ht="19.5" customHeight="1" x14ac:dyDescent="0.25">
      <c r="B254" s="27"/>
      <c r="C254" s="28"/>
      <c r="D254" s="29" t="str">
        <f>IFERROR(VLOOKUP(TimeLog[[#This Row],[Project No]],ProjectsList[],2,FALSE),"")</f>
        <v/>
      </c>
      <c r="E254" s="29" t="str">
        <f>IFERROR(VLOOKUP(TimeLog[[#This Row],[Project No]],ProjectsList[],3,FALSE),"")</f>
        <v/>
      </c>
      <c r="F254" s="21"/>
      <c r="G254" s="30"/>
      <c r="H254" s="41"/>
      <c r="I254" s="40"/>
      <c r="J254" s="43"/>
      <c r="K254" s="30" t="str" cm="1">
        <f t="array" ref="K254">IFERROR(VLOOKUP(TimeLog[[#This Row],[Project No]],ProjectsList[],_xlfn.SWITCH(TimeLog[[#This Row],[Type]],"ST",5,"OT",6,"TT",7,"HD",8),FALSE),"")</f>
        <v/>
      </c>
      <c r="L254" s="107" t="str">
        <f>IFERROR(TimeLog[[#This Row],[Rate]]*TimeLog[[#This Row],[Hours]],"")</f>
        <v/>
      </c>
    </row>
    <row r="255" spans="2:12" ht="19.5" customHeight="1" x14ac:dyDescent="0.25">
      <c r="B255" s="27"/>
      <c r="C255" s="28"/>
      <c r="D255" s="29" t="str">
        <f>IFERROR(VLOOKUP(TimeLog[[#This Row],[Project No]],ProjectsList[],2,FALSE),"")</f>
        <v/>
      </c>
      <c r="E255" s="29" t="str">
        <f>IFERROR(VLOOKUP(TimeLog[[#This Row],[Project No]],ProjectsList[],3,FALSE),"")</f>
        <v/>
      </c>
      <c r="F255" s="21"/>
      <c r="G255" s="30"/>
      <c r="H255" s="41"/>
      <c r="I255" s="40"/>
      <c r="J255" s="43"/>
      <c r="K255" s="30" t="str" cm="1">
        <f t="array" ref="K255">IFERROR(VLOOKUP(TimeLog[[#This Row],[Project No]],ProjectsList[],_xlfn.SWITCH(TimeLog[[#This Row],[Type]],"ST",5,"OT",6,"TT",7,"HD",8),FALSE),"")</f>
        <v/>
      </c>
      <c r="L255" s="107" t="str">
        <f>IFERROR(TimeLog[[#This Row],[Rate]]*TimeLog[[#This Row],[Hours]],"")</f>
        <v/>
      </c>
    </row>
    <row r="256" spans="2:12" ht="19.5" customHeight="1" x14ac:dyDescent="0.25">
      <c r="B256" s="27"/>
      <c r="C256" s="28"/>
      <c r="D256" s="29" t="str">
        <f>IFERROR(VLOOKUP(TimeLog[[#This Row],[Project No]],ProjectsList[],2,FALSE),"")</f>
        <v/>
      </c>
      <c r="E256" s="29" t="str">
        <f>IFERROR(VLOOKUP(TimeLog[[#This Row],[Project No]],ProjectsList[],3,FALSE),"")</f>
        <v/>
      </c>
      <c r="F256" s="21"/>
      <c r="G256" s="30"/>
      <c r="H256" s="41"/>
      <c r="I256" s="40"/>
      <c r="J256" s="43"/>
      <c r="K256" s="30" t="str" cm="1">
        <f t="array" ref="K256">IFERROR(VLOOKUP(TimeLog[[#This Row],[Project No]],ProjectsList[],_xlfn.SWITCH(TimeLog[[#This Row],[Type]],"ST",5,"OT",6,"TT",7,"HD",8),FALSE),"")</f>
        <v/>
      </c>
      <c r="L256" s="107" t="str">
        <f>IFERROR(TimeLog[[#This Row],[Rate]]*TimeLog[[#This Row],[Hours]],"")</f>
        <v/>
      </c>
    </row>
    <row r="257" spans="2:12" ht="19.5" customHeight="1" x14ac:dyDescent="0.25">
      <c r="B257" s="27"/>
      <c r="C257" s="28"/>
      <c r="D257" s="29" t="str">
        <f>IFERROR(VLOOKUP(TimeLog[[#This Row],[Project No]],ProjectsList[],2,FALSE),"")</f>
        <v/>
      </c>
      <c r="E257" s="29" t="str">
        <f>IFERROR(VLOOKUP(TimeLog[[#This Row],[Project No]],ProjectsList[],3,FALSE),"")</f>
        <v/>
      </c>
      <c r="F257" s="21"/>
      <c r="G257" s="30"/>
      <c r="H257" s="41"/>
      <c r="I257" s="40"/>
      <c r="J257" s="43"/>
      <c r="K257" s="30" t="str" cm="1">
        <f t="array" ref="K257">IFERROR(VLOOKUP(TimeLog[[#This Row],[Project No]],ProjectsList[],_xlfn.SWITCH(TimeLog[[#This Row],[Type]],"ST",5,"OT",6,"TT",7,"HD",8),FALSE),"")</f>
        <v/>
      </c>
      <c r="L257" s="107" t="str">
        <f>IFERROR(TimeLog[[#This Row],[Rate]]*TimeLog[[#This Row],[Hours]],"")</f>
        <v/>
      </c>
    </row>
    <row r="258" spans="2:12" ht="19.5" customHeight="1" x14ac:dyDescent="0.25">
      <c r="B258" s="27"/>
      <c r="C258" s="28"/>
      <c r="D258" s="29" t="str">
        <f>IFERROR(VLOOKUP(TimeLog[[#This Row],[Project No]],ProjectsList[],2,FALSE),"")</f>
        <v/>
      </c>
      <c r="E258" s="29" t="str">
        <f>IFERROR(VLOOKUP(TimeLog[[#This Row],[Project No]],ProjectsList[],3,FALSE),"")</f>
        <v/>
      </c>
      <c r="F258" s="21"/>
      <c r="G258" s="30"/>
      <c r="H258" s="41"/>
      <c r="I258" s="40"/>
      <c r="J258" s="43"/>
      <c r="K258" s="30" t="str" cm="1">
        <f t="array" ref="K258">IFERROR(VLOOKUP(TimeLog[[#This Row],[Project No]],ProjectsList[],_xlfn.SWITCH(TimeLog[[#This Row],[Type]],"ST",5,"OT",6,"TT",7,"HD",8),FALSE),"")</f>
        <v/>
      </c>
      <c r="L258" s="107" t="str">
        <f>IFERROR(TimeLog[[#This Row],[Rate]]*TimeLog[[#This Row],[Hours]],"")</f>
        <v/>
      </c>
    </row>
    <row r="259" spans="2:12" ht="19.5" customHeight="1" x14ac:dyDescent="0.25">
      <c r="B259" s="27"/>
      <c r="C259" s="28"/>
      <c r="D259" s="29" t="str">
        <f>IFERROR(VLOOKUP(TimeLog[[#This Row],[Project No]],ProjectsList[],2,FALSE),"")</f>
        <v/>
      </c>
      <c r="E259" s="29" t="str">
        <f>IFERROR(VLOOKUP(TimeLog[[#This Row],[Project No]],ProjectsList[],3,FALSE),"")</f>
        <v/>
      </c>
      <c r="F259" s="21"/>
      <c r="G259" s="30"/>
      <c r="H259" s="41"/>
      <c r="I259" s="40"/>
      <c r="J259" s="43"/>
      <c r="K259" s="30" t="str" cm="1">
        <f t="array" ref="K259">IFERROR(VLOOKUP(TimeLog[[#This Row],[Project No]],ProjectsList[],_xlfn.SWITCH(TimeLog[[#This Row],[Type]],"ST",5,"OT",6,"TT",7,"HD",8),FALSE),"")</f>
        <v/>
      </c>
      <c r="L259" s="107" t="str">
        <f>IFERROR(TimeLog[[#This Row],[Rate]]*TimeLog[[#This Row],[Hours]],"")</f>
        <v/>
      </c>
    </row>
    <row r="260" spans="2:12" ht="19.5" customHeight="1" x14ac:dyDescent="0.25">
      <c r="B260" s="27"/>
      <c r="C260" s="28"/>
      <c r="D260" s="29" t="str">
        <f>IFERROR(VLOOKUP(TimeLog[[#This Row],[Project No]],ProjectsList[],2,FALSE),"")</f>
        <v/>
      </c>
      <c r="E260" s="29" t="str">
        <f>IFERROR(VLOOKUP(TimeLog[[#This Row],[Project No]],ProjectsList[],3,FALSE),"")</f>
        <v/>
      </c>
      <c r="F260" s="21"/>
      <c r="G260" s="30"/>
      <c r="H260" s="41"/>
      <c r="I260" s="40"/>
      <c r="J260" s="43"/>
      <c r="K260" s="30" t="str" cm="1">
        <f t="array" ref="K260">IFERROR(VLOOKUP(TimeLog[[#This Row],[Project No]],ProjectsList[],_xlfn.SWITCH(TimeLog[[#This Row],[Type]],"ST",5,"OT",6,"TT",7,"HD",8),FALSE),"")</f>
        <v/>
      </c>
      <c r="L260" s="107" t="str">
        <f>IFERROR(TimeLog[[#This Row],[Rate]]*TimeLog[[#This Row],[Hours]],"")</f>
        <v/>
      </c>
    </row>
    <row r="261" spans="2:12" ht="19.5" customHeight="1" x14ac:dyDescent="0.25">
      <c r="B261" s="27"/>
      <c r="C261" s="28"/>
      <c r="D261" s="29" t="str">
        <f>IFERROR(VLOOKUP(TimeLog[[#This Row],[Project No]],ProjectsList[],2,FALSE),"")</f>
        <v/>
      </c>
      <c r="E261" s="29" t="str">
        <f>IFERROR(VLOOKUP(TimeLog[[#This Row],[Project No]],ProjectsList[],3,FALSE),"")</f>
        <v/>
      </c>
      <c r="F261" s="21"/>
      <c r="G261" s="30"/>
      <c r="H261" s="41"/>
      <c r="I261" s="40"/>
      <c r="J261" s="43"/>
      <c r="K261" s="30" t="str" cm="1">
        <f t="array" ref="K261">IFERROR(VLOOKUP(TimeLog[[#This Row],[Project No]],ProjectsList[],_xlfn.SWITCH(TimeLog[[#This Row],[Type]],"ST",5,"OT",6,"TT",7,"HD",8),FALSE),"")</f>
        <v/>
      </c>
      <c r="L261" s="107" t="str">
        <f>IFERROR(TimeLog[[#This Row],[Rate]]*TimeLog[[#This Row],[Hours]],"")</f>
        <v/>
      </c>
    </row>
    <row r="262" spans="2:12" ht="19.5" customHeight="1" x14ac:dyDescent="0.25">
      <c r="B262" s="27"/>
      <c r="C262" s="28"/>
      <c r="D262" s="29" t="str">
        <f>IFERROR(VLOOKUP(TimeLog[[#This Row],[Project No]],ProjectsList[],2,FALSE),"")</f>
        <v/>
      </c>
      <c r="E262" s="29" t="str">
        <f>IFERROR(VLOOKUP(TimeLog[[#This Row],[Project No]],ProjectsList[],3,FALSE),"")</f>
        <v/>
      </c>
      <c r="F262" s="21"/>
      <c r="G262" s="30"/>
      <c r="H262" s="41"/>
      <c r="I262" s="40"/>
      <c r="J262" s="43"/>
      <c r="K262" s="30" t="str" cm="1">
        <f t="array" ref="K262">IFERROR(VLOOKUP(TimeLog[[#This Row],[Project No]],ProjectsList[],_xlfn.SWITCH(TimeLog[[#This Row],[Type]],"ST",5,"OT",6,"TT",7,"HD",8),FALSE),"")</f>
        <v/>
      </c>
      <c r="L262" s="107" t="str">
        <f>IFERROR(TimeLog[[#This Row],[Rate]]*TimeLog[[#This Row],[Hours]],"")</f>
        <v/>
      </c>
    </row>
    <row r="263" spans="2:12" ht="19.5" customHeight="1" x14ac:dyDescent="0.25">
      <c r="B263" s="27"/>
      <c r="C263" s="28"/>
      <c r="D263" s="29" t="str">
        <f>IFERROR(VLOOKUP(TimeLog[[#This Row],[Project No]],ProjectsList[],2,FALSE),"")</f>
        <v/>
      </c>
      <c r="E263" s="29" t="str">
        <f>IFERROR(VLOOKUP(TimeLog[[#This Row],[Project No]],ProjectsList[],3,FALSE),"")</f>
        <v/>
      </c>
      <c r="F263" s="21"/>
      <c r="G263" s="30"/>
      <c r="H263" s="41"/>
      <c r="I263" s="40"/>
      <c r="J263" s="43"/>
      <c r="K263" s="30" t="str" cm="1">
        <f t="array" ref="K263">IFERROR(VLOOKUP(TimeLog[[#This Row],[Project No]],ProjectsList[],_xlfn.SWITCH(TimeLog[[#This Row],[Type]],"ST",5,"OT",6,"TT",7,"HD",8),FALSE),"")</f>
        <v/>
      </c>
      <c r="L263" s="107" t="str">
        <f>IFERROR(TimeLog[[#This Row],[Rate]]*TimeLog[[#This Row],[Hours]],"")</f>
        <v/>
      </c>
    </row>
    <row r="264" spans="2:12" ht="19.5" customHeight="1" x14ac:dyDescent="0.25">
      <c r="B264" s="27"/>
      <c r="C264" s="28"/>
      <c r="D264" s="29" t="str">
        <f>IFERROR(VLOOKUP(TimeLog[[#This Row],[Project No]],ProjectsList[],2,FALSE),"")</f>
        <v/>
      </c>
      <c r="E264" s="29" t="str">
        <f>IFERROR(VLOOKUP(TimeLog[[#This Row],[Project No]],ProjectsList[],3,FALSE),"")</f>
        <v/>
      </c>
      <c r="F264" s="21"/>
      <c r="G264" s="30"/>
      <c r="H264" s="41"/>
      <c r="I264" s="40"/>
      <c r="J264" s="43"/>
      <c r="K264" s="30" t="str" cm="1">
        <f t="array" ref="K264">IFERROR(VLOOKUP(TimeLog[[#This Row],[Project No]],ProjectsList[],_xlfn.SWITCH(TimeLog[[#This Row],[Type]],"ST",5,"OT",6,"TT",7,"HD",8),FALSE),"")</f>
        <v/>
      </c>
      <c r="L264" s="107" t="str">
        <f>IFERROR(TimeLog[[#This Row],[Rate]]*TimeLog[[#This Row],[Hours]],"")</f>
        <v/>
      </c>
    </row>
    <row r="265" spans="2:12" ht="19.5" customHeight="1" x14ac:dyDescent="0.25">
      <c r="B265" s="27"/>
      <c r="C265" s="28"/>
      <c r="D265" s="29" t="str">
        <f>IFERROR(VLOOKUP(TimeLog[[#This Row],[Project No]],ProjectsList[],2,FALSE),"")</f>
        <v/>
      </c>
      <c r="E265" s="29" t="str">
        <f>IFERROR(VLOOKUP(TimeLog[[#This Row],[Project No]],ProjectsList[],3,FALSE),"")</f>
        <v/>
      </c>
      <c r="F265" s="21"/>
      <c r="G265" s="30"/>
      <c r="H265" s="41"/>
      <c r="I265" s="40"/>
      <c r="J265" s="43"/>
      <c r="K265" s="30" t="str" cm="1">
        <f t="array" ref="K265">IFERROR(VLOOKUP(TimeLog[[#This Row],[Project No]],ProjectsList[],_xlfn.SWITCH(TimeLog[[#This Row],[Type]],"ST",5,"OT",6,"TT",7,"HD",8),FALSE),"")</f>
        <v/>
      </c>
      <c r="L265" s="107" t="str">
        <f>IFERROR(TimeLog[[#This Row],[Rate]]*TimeLog[[#This Row],[Hours]],"")</f>
        <v/>
      </c>
    </row>
    <row r="266" spans="2:12" ht="19.5" customHeight="1" x14ac:dyDescent="0.25">
      <c r="B266" s="27"/>
      <c r="C266" s="28"/>
      <c r="D266" s="29" t="str">
        <f>IFERROR(VLOOKUP(TimeLog[[#This Row],[Project No]],ProjectsList[],2,FALSE),"")</f>
        <v/>
      </c>
      <c r="E266" s="29" t="str">
        <f>IFERROR(VLOOKUP(TimeLog[[#This Row],[Project No]],ProjectsList[],3,FALSE),"")</f>
        <v/>
      </c>
      <c r="F266" s="21"/>
      <c r="G266" s="30"/>
      <c r="H266" s="41"/>
      <c r="I266" s="40"/>
      <c r="J266" s="43"/>
      <c r="K266" s="30" t="str" cm="1">
        <f t="array" ref="K266">IFERROR(VLOOKUP(TimeLog[[#This Row],[Project No]],ProjectsList[],_xlfn.SWITCH(TimeLog[[#This Row],[Type]],"ST",5,"OT",6,"TT",7,"HD",8),FALSE),"")</f>
        <v/>
      </c>
      <c r="L266" s="107" t="str">
        <f>IFERROR(TimeLog[[#This Row],[Rate]]*TimeLog[[#This Row],[Hours]],"")</f>
        <v/>
      </c>
    </row>
    <row r="267" spans="2:12" ht="19.5" customHeight="1" x14ac:dyDescent="0.25">
      <c r="B267" s="27"/>
      <c r="C267" s="28"/>
      <c r="D267" s="29" t="str">
        <f>IFERROR(VLOOKUP(TimeLog[[#This Row],[Project No]],ProjectsList[],2,FALSE),"")</f>
        <v/>
      </c>
      <c r="E267" s="29" t="str">
        <f>IFERROR(VLOOKUP(TimeLog[[#This Row],[Project No]],ProjectsList[],3,FALSE),"")</f>
        <v/>
      </c>
      <c r="F267" s="21"/>
      <c r="G267" s="30"/>
      <c r="H267" s="41"/>
      <c r="I267" s="40"/>
      <c r="J267" s="43"/>
      <c r="K267" s="30" t="str" cm="1">
        <f t="array" ref="K267">IFERROR(VLOOKUP(TimeLog[[#This Row],[Project No]],ProjectsList[],_xlfn.SWITCH(TimeLog[[#This Row],[Type]],"ST",5,"OT",6,"TT",7,"HD",8),FALSE),"")</f>
        <v/>
      </c>
      <c r="L267" s="107" t="str">
        <f>IFERROR(TimeLog[[#This Row],[Rate]]*TimeLog[[#This Row],[Hours]],"")</f>
        <v/>
      </c>
    </row>
    <row r="268" spans="2:12" ht="19.5" customHeight="1" x14ac:dyDescent="0.25">
      <c r="B268" s="27"/>
      <c r="C268" s="28"/>
      <c r="D268" s="29" t="str">
        <f>IFERROR(VLOOKUP(TimeLog[[#This Row],[Project No]],ProjectsList[],2,FALSE),"")</f>
        <v/>
      </c>
      <c r="E268" s="29" t="str">
        <f>IFERROR(VLOOKUP(TimeLog[[#This Row],[Project No]],ProjectsList[],3,FALSE),"")</f>
        <v/>
      </c>
      <c r="F268" s="21"/>
      <c r="G268" s="30"/>
      <c r="H268" s="41"/>
      <c r="I268" s="40"/>
      <c r="J268" s="43"/>
      <c r="K268" s="30" t="str" cm="1">
        <f t="array" ref="K268">IFERROR(VLOOKUP(TimeLog[[#This Row],[Project No]],ProjectsList[],_xlfn.SWITCH(TimeLog[[#This Row],[Type]],"ST",5,"OT",6,"TT",7,"HD",8),FALSE),"")</f>
        <v/>
      </c>
      <c r="L268" s="107" t="str">
        <f>IFERROR(TimeLog[[#This Row],[Rate]]*TimeLog[[#This Row],[Hours]],"")</f>
        <v/>
      </c>
    </row>
    <row r="269" spans="2:12" ht="19.5" customHeight="1" x14ac:dyDescent="0.25">
      <c r="B269" s="27"/>
      <c r="C269" s="28"/>
      <c r="D269" s="29" t="str">
        <f>IFERROR(VLOOKUP(TimeLog[[#This Row],[Project No]],ProjectsList[],2,FALSE),"")</f>
        <v/>
      </c>
      <c r="E269" s="29" t="str">
        <f>IFERROR(VLOOKUP(TimeLog[[#This Row],[Project No]],ProjectsList[],3,FALSE),"")</f>
        <v/>
      </c>
      <c r="F269" s="21"/>
      <c r="G269" s="30"/>
      <c r="H269" s="41"/>
      <c r="I269" s="40"/>
      <c r="J269" s="43"/>
      <c r="K269" s="30" t="str" cm="1">
        <f t="array" ref="K269">IFERROR(VLOOKUP(TimeLog[[#This Row],[Project No]],ProjectsList[],_xlfn.SWITCH(TimeLog[[#This Row],[Type]],"ST",5,"OT",6,"TT",7,"HD",8),FALSE),"")</f>
        <v/>
      </c>
      <c r="L269" s="107" t="str">
        <f>IFERROR(TimeLog[[#This Row],[Rate]]*TimeLog[[#This Row],[Hours]],"")</f>
        <v/>
      </c>
    </row>
    <row r="270" spans="2:12" ht="19.5" customHeight="1" x14ac:dyDescent="0.25">
      <c r="B270" s="27"/>
      <c r="C270" s="28"/>
      <c r="D270" s="29" t="str">
        <f>IFERROR(VLOOKUP(TimeLog[[#This Row],[Project No]],ProjectsList[],2,FALSE),"")</f>
        <v/>
      </c>
      <c r="E270" s="29" t="str">
        <f>IFERROR(VLOOKUP(TimeLog[[#This Row],[Project No]],ProjectsList[],3,FALSE),"")</f>
        <v/>
      </c>
      <c r="F270" s="21"/>
      <c r="G270" s="30"/>
      <c r="H270" s="41"/>
      <c r="I270" s="40"/>
      <c r="J270" s="43"/>
      <c r="K270" s="30" t="str" cm="1">
        <f t="array" ref="K270">IFERROR(VLOOKUP(TimeLog[[#This Row],[Project No]],ProjectsList[],_xlfn.SWITCH(TimeLog[[#This Row],[Type]],"ST",5,"OT",6,"TT",7,"HD",8),FALSE),"")</f>
        <v/>
      </c>
      <c r="L270" s="107" t="str">
        <f>IFERROR(TimeLog[[#This Row],[Rate]]*TimeLog[[#This Row],[Hours]],"")</f>
        <v/>
      </c>
    </row>
    <row r="271" spans="2:12" ht="19.5" customHeight="1" x14ac:dyDescent="0.25">
      <c r="B271" s="27"/>
      <c r="C271" s="28"/>
      <c r="D271" s="29" t="str">
        <f>IFERROR(VLOOKUP(TimeLog[[#This Row],[Project No]],ProjectsList[],2,FALSE),"")</f>
        <v/>
      </c>
      <c r="E271" s="29" t="str">
        <f>IFERROR(VLOOKUP(TimeLog[[#This Row],[Project No]],ProjectsList[],3,FALSE),"")</f>
        <v/>
      </c>
      <c r="F271" s="21"/>
      <c r="G271" s="30"/>
      <c r="H271" s="41"/>
      <c r="I271" s="40"/>
      <c r="J271" s="43"/>
      <c r="K271" s="30" t="str" cm="1">
        <f t="array" ref="K271">IFERROR(VLOOKUP(TimeLog[[#This Row],[Project No]],ProjectsList[],_xlfn.SWITCH(TimeLog[[#This Row],[Type]],"ST",5,"OT",6,"TT",7,"HD",8),FALSE),"")</f>
        <v/>
      </c>
      <c r="L271" s="107" t="str">
        <f>IFERROR(TimeLog[[#This Row],[Rate]]*TimeLog[[#This Row],[Hours]],"")</f>
        <v/>
      </c>
    </row>
    <row r="272" spans="2:12" ht="19.5" customHeight="1" x14ac:dyDescent="0.25">
      <c r="B272" s="27"/>
      <c r="C272" s="28"/>
      <c r="D272" s="29" t="str">
        <f>IFERROR(VLOOKUP(TimeLog[[#This Row],[Project No]],ProjectsList[],2,FALSE),"")</f>
        <v/>
      </c>
      <c r="E272" s="29" t="str">
        <f>IFERROR(VLOOKUP(TimeLog[[#This Row],[Project No]],ProjectsList[],3,FALSE),"")</f>
        <v/>
      </c>
      <c r="F272" s="21"/>
      <c r="G272" s="30"/>
      <c r="H272" s="41"/>
      <c r="I272" s="40"/>
      <c r="J272" s="43"/>
      <c r="K272" s="30" t="str" cm="1">
        <f t="array" ref="K272">IFERROR(VLOOKUP(TimeLog[[#This Row],[Project No]],ProjectsList[],_xlfn.SWITCH(TimeLog[[#This Row],[Type]],"ST",5,"OT",6,"TT",7,"HD",8),FALSE),"")</f>
        <v/>
      </c>
      <c r="L272" s="107" t="str">
        <f>IFERROR(TimeLog[[#This Row],[Rate]]*TimeLog[[#This Row],[Hours]],"")</f>
        <v/>
      </c>
    </row>
    <row r="273" spans="2:12" ht="19.5" customHeight="1" x14ac:dyDescent="0.25">
      <c r="B273" s="27"/>
      <c r="C273" s="28"/>
      <c r="D273" s="29" t="str">
        <f>IFERROR(VLOOKUP(TimeLog[[#This Row],[Project No]],ProjectsList[],2,FALSE),"")</f>
        <v/>
      </c>
      <c r="E273" s="29" t="str">
        <f>IFERROR(VLOOKUP(TimeLog[[#This Row],[Project No]],ProjectsList[],3,FALSE),"")</f>
        <v/>
      </c>
      <c r="F273" s="21"/>
      <c r="G273" s="30"/>
      <c r="H273" s="41"/>
      <c r="I273" s="40"/>
      <c r="J273" s="43"/>
      <c r="K273" s="30" t="str" cm="1">
        <f t="array" ref="K273">IFERROR(VLOOKUP(TimeLog[[#This Row],[Project No]],ProjectsList[],_xlfn.SWITCH(TimeLog[[#This Row],[Type]],"ST",5,"OT",6,"TT",7,"HD",8),FALSE),"")</f>
        <v/>
      </c>
      <c r="L273" s="107" t="str">
        <f>IFERROR(TimeLog[[#This Row],[Rate]]*TimeLog[[#This Row],[Hours]],"")</f>
        <v/>
      </c>
    </row>
    <row r="274" spans="2:12" ht="19.5" customHeight="1" x14ac:dyDescent="0.25">
      <c r="B274" s="27"/>
      <c r="C274" s="28"/>
      <c r="D274" s="29" t="str">
        <f>IFERROR(VLOOKUP(TimeLog[[#This Row],[Project No]],ProjectsList[],2,FALSE),"")</f>
        <v/>
      </c>
      <c r="E274" s="29" t="str">
        <f>IFERROR(VLOOKUP(TimeLog[[#This Row],[Project No]],ProjectsList[],3,FALSE),"")</f>
        <v/>
      </c>
      <c r="F274" s="21"/>
      <c r="G274" s="30"/>
      <c r="H274" s="41"/>
      <c r="I274" s="40"/>
      <c r="J274" s="43"/>
      <c r="K274" s="30" t="str" cm="1">
        <f t="array" ref="K274">IFERROR(VLOOKUP(TimeLog[[#This Row],[Project No]],ProjectsList[],_xlfn.SWITCH(TimeLog[[#This Row],[Type]],"ST",5,"OT",6,"TT",7,"HD",8),FALSE),"")</f>
        <v/>
      </c>
      <c r="L274" s="107" t="str">
        <f>IFERROR(TimeLog[[#This Row],[Rate]]*TimeLog[[#This Row],[Hours]],"")</f>
        <v/>
      </c>
    </row>
    <row r="275" spans="2:12" ht="19.5" customHeight="1" x14ac:dyDescent="0.25">
      <c r="B275" s="27"/>
      <c r="C275" s="28"/>
      <c r="D275" s="29" t="str">
        <f>IFERROR(VLOOKUP(TimeLog[[#This Row],[Project No]],ProjectsList[],2,FALSE),"")</f>
        <v/>
      </c>
      <c r="E275" s="29" t="str">
        <f>IFERROR(VLOOKUP(TimeLog[[#This Row],[Project No]],ProjectsList[],3,FALSE),"")</f>
        <v/>
      </c>
      <c r="F275" s="21"/>
      <c r="G275" s="30"/>
      <c r="H275" s="41"/>
      <c r="I275" s="40"/>
      <c r="J275" s="43"/>
      <c r="K275" s="30" t="str" cm="1">
        <f t="array" ref="K275">IFERROR(VLOOKUP(TimeLog[[#This Row],[Project No]],ProjectsList[],_xlfn.SWITCH(TimeLog[[#This Row],[Type]],"ST",5,"OT",6,"TT",7,"HD",8),FALSE),"")</f>
        <v/>
      </c>
      <c r="L275" s="107" t="str">
        <f>IFERROR(TimeLog[[#This Row],[Rate]]*TimeLog[[#This Row],[Hours]],"")</f>
        <v/>
      </c>
    </row>
    <row r="276" spans="2:12" ht="19.5" customHeight="1" x14ac:dyDescent="0.25">
      <c r="B276" s="27"/>
      <c r="C276" s="28"/>
      <c r="D276" s="29" t="str">
        <f>IFERROR(VLOOKUP(TimeLog[[#This Row],[Project No]],ProjectsList[],2,FALSE),"")</f>
        <v/>
      </c>
      <c r="E276" s="29" t="str">
        <f>IFERROR(VLOOKUP(TimeLog[[#This Row],[Project No]],ProjectsList[],3,FALSE),"")</f>
        <v/>
      </c>
      <c r="F276" s="21"/>
      <c r="G276" s="30"/>
      <c r="H276" s="41"/>
      <c r="I276" s="40"/>
      <c r="J276" s="43"/>
      <c r="K276" s="30" t="str" cm="1">
        <f t="array" ref="K276">IFERROR(VLOOKUP(TimeLog[[#This Row],[Project No]],ProjectsList[],_xlfn.SWITCH(TimeLog[[#This Row],[Type]],"ST",5,"OT",6,"TT",7,"HD",8),FALSE),"")</f>
        <v/>
      </c>
      <c r="L276" s="107" t="str">
        <f>IFERROR(TimeLog[[#This Row],[Rate]]*TimeLog[[#This Row],[Hours]],"")</f>
        <v/>
      </c>
    </row>
    <row r="277" spans="2:12" ht="19.5" customHeight="1" x14ac:dyDescent="0.25">
      <c r="B277" s="27"/>
      <c r="C277" s="28"/>
      <c r="D277" s="29" t="str">
        <f>IFERROR(VLOOKUP(TimeLog[[#This Row],[Project No]],ProjectsList[],2,FALSE),"")</f>
        <v/>
      </c>
      <c r="E277" s="29" t="str">
        <f>IFERROR(VLOOKUP(TimeLog[[#This Row],[Project No]],ProjectsList[],3,FALSE),"")</f>
        <v/>
      </c>
      <c r="F277" s="21"/>
      <c r="G277" s="30"/>
      <c r="H277" s="41"/>
      <c r="I277" s="40"/>
      <c r="J277" s="43"/>
      <c r="K277" s="30" t="str" cm="1">
        <f t="array" ref="K277">IFERROR(VLOOKUP(TimeLog[[#This Row],[Project No]],ProjectsList[],_xlfn.SWITCH(TimeLog[[#This Row],[Type]],"ST",5,"OT",6,"TT",7,"HD",8),FALSE),"")</f>
        <v/>
      </c>
      <c r="L277" s="107" t="str">
        <f>IFERROR(TimeLog[[#This Row],[Rate]]*TimeLog[[#This Row],[Hours]],"")</f>
        <v/>
      </c>
    </row>
    <row r="278" spans="2:12" ht="19.5" customHeight="1" x14ac:dyDescent="0.25">
      <c r="B278" s="27"/>
      <c r="C278" s="28"/>
      <c r="D278" s="29" t="str">
        <f>IFERROR(VLOOKUP(TimeLog[[#This Row],[Project No]],ProjectsList[],2,FALSE),"")</f>
        <v/>
      </c>
      <c r="E278" s="29" t="str">
        <f>IFERROR(VLOOKUP(TimeLog[[#This Row],[Project No]],ProjectsList[],3,FALSE),"")</f>
        <v/>
      </c>
      <c r="F278" s="21"/>
      <c r="G278" s="30"/>
      <c r="H278" s="41"/>
      <c r="I278" s="40"/>
      <c r="J278" s="43"/>
      <c r="K278" s="30" t="str" cm="1">
        <f t="array" ref="K278">IFERROR(VLOOKUP(TimeLog[[#This Row],[Project No]],ProjectsList[],_xlfn.SWITCH(TimeLog[[#This Row],[Type]],"ST",5,"OT",6,"TT",7,"HD",8),FALSE),"")</f>
        <v/>
      </c>
      <c r="L278" s="107" t="str">
        <f>IFERROR(TimeLog[[#This Row],[Rate]]*TimeLog[[#This Row],[Hours]],"")</f>
        <v/>
      </c>
    </row>
    <row r="279" spans="2:12" ht="19.5" customHeight="1" x14ac:dyDescent="0.25">
      <c r="B279" s="27"/>
      <c r="C279" s="28"/>
      <c r="D279" s="29" t="str">
        <f>IFERROR(VLOOKUP(TimeLog[[#This Row],[Project No]],ProjectsList[],2,FALSE),"")</f>
        <v/>
      </c>
      <c r="E279" s="29" t="str">
        <f>IFERROR(VLOOKUP(TimeLog[[#This Row],[Project No]],ProjectsList[],3,FALSE),"")</f>
        <v/>
      </c>
      <c r="F279" s="21"/>
      <c r="G279" s="30"/>
      <c r="H279" s="41"/>
      <c r="I279" s="40"/>
      <c r="J279" s="43"/>
      <c r="K279" s="30" t="str" cm="1">
        <f t="array" ref="K279">IFERROR(VLOOKUP(TimeLog[[#This Row],[Project No]],ProjectsList[],_xlfn.SWITCH(TimeLog[[#This Row],[Type]],"ST",5,"OT",6,"TT",7,"HD",8),FALSE),"")</f>
        <v/>
      </c>
      <c r="L279" s="107" t="str">
        <f>IFERROR(TimeLog[[#This Row],[Rate]]*TimeLog[[#This Row],[Hours]],"")</f>
        <v/>
      </c>
    </row>
    <row r="280" spans="2:12" ht="19.5" customHeight="1" x14ac:dyDescent="0.25">
      <c r="B280" s="27"/>
      <c r="C280" s="28"/>
      <c r="D280" s="29" t="str">
        <f>IFERROR(VLOOKUP(TimeLog[[#This Row],[Project No]],ProjectsList[],2,FALSE),"")</f>
        <v/>
      </c>
      <c r="E280" s="29" t="str">
        <f>IFERROR(VLOOKUP(TimeLog[[#This Row],[Project No]],ProjectsList[],3,FALSE),"")</f>
        <v/>
      </c>
      <c r="F280" s="21"/>
      <c r="G280" s="30"/>
      <c r="H280" s="41"/>
      <c r="I280" s="40"/>
      <c r="J280" s="43"/>
      <c r="K280" s="30" t="str" cm="1">
        <f t="array" ref="K280">IFERROR(VLOOKUP(TimeLog[[#This Row],[Project No]],ProjectsList[],_xlfn.SWITCH(TimeLog[[#This Row],[Type]],"ST",5,"OT",6,"TT",7,"HD",8),FALSE),"")</f>
        <v/>
      </c>
      <c r="L280" s="107" t="str">
        <f>IFERROR(TimeLog[[#This Row],[Rate]]*TimeLog[[#This Row],[Hours]],"")</f>
        <v/>
      </c>
    </row>
    <row r="281" spans="2:12" ht="19.5" customHeight="1" x14ac:dyDescent="0.25">
      <c r="B281" s="27"/>
      <c r="C281" s="28"/>
      <c r="D281" s="29" t="str">
        <f>IFERROR(VLOOKUP(TimeLog[[#This Row],[Project No]],ProjectsList[],2,FALSE),"")</f>
        <v/>
      </c>
      <c r="E281" s="29" t="str">
        <f>IFERROR(VLOOKUP(TimeLog[[#This Row],[Project No]],ProjectsList[],3,FALSE),"")</f>
        <v/>
      </c>
      <c r="F281" s="21"/>
      <c r="G281" s="30"/>
      <c r="H281" s="41"/>
      <c r="I281" s="40"/>
      <c r="J281" s="43"/>
      <c r="K281" s="30" t="str" cm="1">
        <f t="array" ref="K281">IFERROR(VLOOKUP(TimeLog[[#This Row],[Project No]],ProjectsList[],_xlfn.SWITCH(TimeLog[[#This Row],[Type]],"ST",5,"OT",6,"TT",7,"HD",8),FALSE),"")</f>
        <v/>
      </c>
      <c r="L281" s="107" t="str">
        <f>IFERROR(TimeLog[[#This Row],[Rate]]*TimeLog[[#This Row],[Hours]],"")</f>
        <v/>
      </c>
    </row>
    <row r="282" spans="2:12" ht="19.5" customHeight="1" x14ac:dyDescent="0.25">
      <c r="B282" s="27"/>
      <c r="C282" s="28"/>
      <c r="D282" s="29" t="str">
        <f>IFERROR(VLOOKUP(TimeLog[[#This Row],[Project No]],ProjectsList[],2,FALSE),"")</f>
        <v/>
      </c>
      <c r="E282" s="29" t="str">
        <f>IFERROR(VLOOKUP(TimeLog[[#This Row],[Project No]],ProjectsList[],3,FALSE),"")</f>
        <v/>
      </c>
      <c r="F282" s="21"/>
      <c r="G282" s="30"/>
      <c r="H282" s="41"/>
      <c r="I282" s="40"/>
      <c r="J282" s="43"/>
      <c r="K282" s="30" t="str" cm="1">
        <f t="array" ref="K282">IFERROR(VLOOKUP(TimeLog[[#This Row],[Project No]],ProjectsList[],_xlfn.SWITCH(TimeLog[[#This Row],[Type]],"ST",5,"OT",6,"TT",7,"HD",8),FALSE),"")</f>
        <v/>
      </c>
      <c r="L282" s="107" t="str">
        <f>IFERROR(TimeLog[[#This Row],[Rate]]*TimeLog[[#This Row],[Hours]],"")</f>
        <v/>
      </c>
    </row>
    <row r="283" spans="2:12" ht="19.5" customHeight="1" x14ac:dyDescent="0.25">
      <c r="B283" s="27"/>
      <c r="C283" s="28"/>
      <c r="D283" s="29" t="str">
        <f>IFERROR(VLOOKUP(TimeLog[[#This Row],[Project No]],ProjectsList[],2,FALSE),"")</f>
        <v/>
      </c>
      <c r="E283" s="29" t="str">
        <f>IFERROR(VLOOKUP(TimeLog[[#This Row],[Project No]],ProjectsList[],3,FALSE),"")</f>
        <v/>
      </c>
      <c r="F283" s="21"/>
      <c r="G283" s="30"/>
      <c r="H283" s="41"/>
      <c r="I283" s="40"/>
      <c r="J283" s="43"/>
      <c r="K283" s="30" t="str" cm="1">
        <f t="array" ref="K283">IFERROR(VLOOKUP(TimeLog[[#This Row],[Project No]],ProjectsList[],_xlfn.SWITCH(TimeLog[[#This Row],[Type]],"ST",5,"OT",6,"TT",7,"HD",8),FALSE),"")</f>
        <v/>
      </c>
      <c r="L283" s="107" t="str">
        <f>IFERROR(TimeLog[[#This Row],[Rate]]*TimeLog[[#This Row],[Hours]],"")</f>
        <v/>
      </c>
    </row>
    <row r="284" spans="2:12" ht="19.5" customHeight="1" x14ac:dyDescent="0.25">
      <c r="B284" s="27"/>
      <c r="C284" s="28"/>
      <c r="D284" s="29" t="str">
        <f>IFERROR(VLOOKUP(TimeLog[[#This Row],[Project No]],ProjectsList[],2,FALSE),"")</f>
        <v/>
      </c>
      <c r="E284" s="29" t="str">
        <f>IFERROR(VLOOKUP(TimeLog[[#This Row],[Project No]],ProjectsList[],3,FALSE),"")</f>
        <v/>
      </c>
      <c r="F284" s="21"/>
      <c r="G284" s="30"/>
      <c r="H284" s="41"/>
      <c r="I284" s="40"/>
      <c r="J284" s="43"/>
      <c r="K284" s="30" t="str" cm="1">
        <f t="array" ref="K284">IFERROR(VLOOKUP(TimeLog[[#This Row],[Project No]],ProjectsList[],_xlfn.SWITCH(TimeLog[[#This Row],[Type]],"ST",5,"OT",6,"TT",7,"HD",8),FALSE),"")</f>
        <v/>
      </c>
      <c r="L284" s="107" t="str">
        <f>IFERROR(TimeLog[[#This Row],[Rate]]*TimeLog[[#This Row],[Hours]],"")</f>
        <v/>
      </c>
    </row>
    <row r="285" spans="2:12" ht="33.950000000000003" customHeight="1" x14ac:dyDescent="0.25">
      <c r="B285" s="36" t="s">
        <v>45</v>
      </c>
      <c r="C285" s="38"/>
      <c r="D285" s="38"/>
      <c r="E285" s="38"/>
      <c r="F285" s="36"/>
      <c r="G285" s="37">
        <f>SUBTOTAL(109,TimeLog[Hours])</f>
        <v>814</v>
      </c>
      <c r="H285" s="37"/>
      <c r="I285" s="37"/>
      <c r="J285" s="37"/>
      <c r="K285" s="37"/>
      <c r="L285" s="37">
        <f>SUBTOTAL(109,TimeLog[Total])</f>
        <v>170340</v>
      </c>
    </row>
  </sheetData>
  <sheetProtection formatCells="0" formatColumns="0" formatRows="0" insertRows="0" deleteRows="0" selectLockedCells="1" sort="0" autoFilter="0" pivotTables="0"/>
  <phoneticPr fontId="19" type="noConversion"/>
  <dataValidations count="3">
    <dataValidation type="list" allowBlank="1" showInputMessage="1" showErrorMessage="1" sqref="I4:I284" xr:uid="{C09AC342-248B-4F78-9E7C-8C28CF378DA8}">
      <formula1>"Y,N"</formula1>
    </dataValidation>
    <dataValidation type="list" allowBlank="1" showInputMessage="1" showErrorMessage="1" sqref="C4:C284" xr:uid="{B3B88B6C-1422-457D-9FFC-11923F1ECFA8}">
      <formula1>ProjectLookup</formula1>
    </dataValidation>
    <dataValidation type="list" allowBlank="1" showInputMessage="1" showErrorMessage="1" sqref="H4:H284" xr:uid="{68D6D846-285A-46C9-BAA0-3540C7826B2B}">
      <formula1>"ST,OT,TT,HD"</formula1>
    </dataValidation>
  </dataValidations>
  <printOptions horizontalCentered="1"/>
  <pageMargins left="0.25" right="0.25" top="0.75" bottom="0.75" header="0.3" footer="0.3"/>
  <pageSetup scale="49" fitToHeight="0" orientation="landscape" r:id="rId1"/>
  <headerFooter differentFirst="1">
    <oddFooter>Page &amp;P of &amp;N</oddFooter>
  </headerFooter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346D3-E404-4DF3-B017-BF9F665B605B}">
  <sheetPr>
    <tabColor theme="4" tint="0.39997558519241921"/>
    <pageSetUpPr autoPageBreaks="0" fitToPage="1"/>
  </sheetPr>
  <dimension ref="B1:L315"/>
  <sheetViews>
    <sheetView showGridLines="0" zoomScaleNormal="100" workbookViewId="0">
      <pane ySplit="3" topLeftCell="A70" activePane="bottomLeft" state="frozen"/>
      <selection activeCell="G4" sqref="G4"/>
      <selection pane="bottomLeft" activeCell="L80" sqref="L80"/>
    </sheetView>
  </sheetViews>
  <sheetFormatPr defaultColWidth="9" defaultRowHeight="33.950000000000003" customHeight="1" x14ac:dyDescent="0.25"/>
  <cols>
    <col min="1" max="1" width="2.5703125" customWidth="1"/>
    <col min="2" max="2" width="10.7109375" customWidth="1"/>
    <col min="3" max="3" width="12.7109375" customWidth="1"/>
    <col min="4" max="4" width="30.7109375" customWidth="1"/>
    <col min="5" max="5" width="50.7109375" customWidth="1"/>
    <col min="6" max="6" width="32.5703125" customWidth="1"/>
    <col min="7" max="7" width="9.7109375" customWidth="1"/>
    <col min="8" max="8" width="16.7109375" customWidth="1"/>
    <col min="9" max="9" width="8.7109375" customWidth="1"/>
    <col min="10" max="10" width="10.7109375" customWidth="1"/>
    <col min="11" max="11" width="16.7109375" customWidth="1"/>
    <col min="12" max="12" width="12.7109375" customWidth="1"/>
    <col min="13" max="13" width="2.85546875" customWidth="1"/>
    <col min="14" max="14" width="9.85546875" customWidth="1"/>
    <col min="15" max="15" width="9.28515625" customWidth="1"/>
  </cols>
  <sheetData>
    <row r="1" spans="2:12" ht="30.95" customHeight="1" x14ac:dyDescent="0.25"/>
    <row r="2" spans="2:12" ht="29.1" customHeight="1" x14ac:dyDescent="0.25">
      <c r="B2" s="2" t="s">
        <v>49</v>
      </c>
      <c r="F2" s="70"/>
      <c r="G2" s="72"/>
      <c r="K2" s="70" t="s">
        <v>204</v>
      </c>
      <c r="L2" s="71">
        <f>ExpenseLog[[#Totals],[Total]]</f>
        <v>16835.59</v>
      </c>
    </row>
    <row r="3" spans="2:12" ht="24" customHeight="1" x14ac:dyDescent="0.25">
      <c r="B3" s="14" t="s">
        <v>26</v>
      </c>
      <c r="C3" s="14" t="s">
        <v>42</v>
      </c>
      <c r="D3" s="14" t="s">
        <v>35</v>
      </c>
      <c r="E3" s="14" t="s">
        <v>7</v>
      </c>
      <c r="F3" s="14" t="s">
        <v>158</v>
      </c>
      <c r="G3" s="14" t="s">
        <v>17</v>
      </c>
      <c r="H3" s="14" t="s">
        <v>30</v>
      </c>
      <c r="I3" s="14" t="s">
        <v>159</v>
      </c>
      <c r="J3" s="14" t="s">
        <v>50</v>
      </c>
      <c r="K3" s="14" t="s">
        <v>46</v>
      </c>
      <c r="L3" s="14" t="s">
        <v>45</v>
      </c>
    </row>
    <row r="4" spans="2:12" ht="19.5" customHeight="1" x14ac:dyDescent="0.25">
      <c r="B4" s="27">
        <v>45684</v>
      </c>
      <c r="C4" s="28">
        <v>505</v>
      </c>
      <c r="D4" s="29" t="str">
        <f>IFERROR(VLOOKUP(ExpenseLog[[#This Row],[Project No]],ProjectsList[],2,FALSE),"")</f>
        <v>TRK Engineering Services, Inc.</v>
      </c>
      <c r="E4" s="29" t="str">
        <f>IFERROR(VLOOKUP(ExpenseLog[[#This Row],[Project No]],ProjectsList[],3,FALSE),"")</f>
        <v>Holcim - Ada - Inspection</v>
      </c>
      <c r="F4" s="21" t="s">
        <v>192</v>
      </c>
      <c r="G4" s="30">
        <v>1</v>
      </c>
      <c r="H4" s="41" t="s">
        <v>191</v>
      </c>
      <c r="I4" s="40"/>
      <c r="J4" s="43">
        <v>632</v>
      </c>
      <c r="K4" s="30">
        <v>1013.46</v>
      </c>
      <c r="L4" s="39">
        <f>ExpenseLog[[#This Row],[Rate]]*ExpenseLog[[#This Row],[Qty]]</f>
        <v>1013.46</v>
      </c>
    </row>
    <row r="5" spans="2:12" ht="19.5" customHeight="1" x14ac:dyDescent="0.25">
      <c r="B5" s="27">
        <v>45688</v>
      </c>
      <c r="C5" s="28">
        <v>505</v>
      </c>
      <c r="D5" s="29" t="str">
        <f>IFERROR(VLOOKUP(ExpenseLog[[#This Row],[Project No]],ProjectsList[],2,FALSE),"")</f>
        <v>TRK Engineering Services, Inc.</v>
      </c>
      <c r="E5" s="29" t="str">
        <f>IFERROR(VLOOKUP(ExpenseLog[[#This Row],[Project No]],ProjectsList[],3,FALSE),"")</f>
        <v>Holcim - Ada - Inspection</v>
      </c>
      <c r="F5" s="21" t="s">
        <v>193</v>
      </c>
      <c r="G5" s="30">
        <v>1</v>
      </c>
      <c r="H5" s="41" t="s">
        <v>194</v>
      </c>
      <c r="I5" s="40"/>
      <c r="J5" s="43">
        <v>632</v>
      </c>
      <c r="K5" s="30">
        <v>42.84</v>
      </c>
      <c r="L5" s="39">
        <f>ExpenseLog[[#This Row],[Rate]]*ExpenseLog[[#This Row],[Qty]]</f>
        <v>42.84</v>
      </c>
    </row>
    <row r="6" spans="2:12" ht="19.5" customHeight="1" x14ac:dyDescent="0.25">
      <c r="B6" s="27">
        <v>45688</v>
      </c>
      <c r="C6" s="28">
        <v>505</v>
      </c>
      <c r="D6" s="29" t="str">
        <f>IFERROR(VLOOKUP(ExpenseLog[[#This Row],[Project No]],ProjectsList[],2,FALSE),"")</f>
        <v>TRK Engineering Services, Inc.</v>
      </c>
      <c r="E6" s="29" t="str">
        <f>IFERROR(VLOOKUP(ExpenseLog[[#This Row],[Project No]],ProjectsList[],3,FALSE),"")</f>
        <v>Holcim - Ada - Inspection</v>
      </c>
      <c r="F6" s="21" t="s">
        <v>195</v>
      </c>
      <c r="G6" s="30">
        <v>1</v>
      </c>
      <c r="H6" s="41" t="s">
        <v>196</v>
      </c>
      <c r="I6" s="40"/>
      <c r="J6" s="43">
        <v>632</v>
      </c>
      <c r="K6" s="30">
        <v>466.46</v>
      </c>
      <c r="L6" s="39">
        <f>ExpenseLog[[#This Row],[Rate]]*ExpenseLog[[#This Row],[Qty]]</f>
        <v>466.46</v>
      </c>
    </row>
    <row r="7" spans="2:12" ht="19.5" customHeight="1" x14ac:dyDescent="0.25">
      <c r="B7" s="27">
        <v>45688</v>
      </c>
      <c r="C7" s="28">
        <v>505</v>
      </c>
      <c r="D7" s="29" t="str">
        <f>IFERROR(VLOOKUP(ExpenseLog[[#This Row],[Project No]],ProjectsList[],2,FALSE),"")</f>
        <v>TRK Engineering Services, Inc.</v>
      </c>
      <c r="E7" s="29" t="str">
        <f>IFERROR(VLOOKUP(ExpenseLog[[#This Row],[Project No]],ProjectsList[],3,FALSE),"")</f>
        <v>Holcim - Ada - Inspection</v>
      </c>
      <c r="F7" s="21" t="s">
        <v>197</v>
      </c>
      <c r="G7" s="30">
        <v>1</v>
      </c>
      <c r="H7" s="41" t="s">
        <v>198</v>
      </c>
      <c r="I7" s="40"/>
      <c r="J7" s="43">
        <v>632</v>
      </c>
      <c r="K7" s="30">
        <v>45.96</v>
      </c>
      <c r="L7" s="39">
        <f>ExpenseLog[[#This Row],[Rate]]*ExpenseLog[[#This Row],[Qty]]</f>
        <v>45.96</v>
      </c>
    </row>
    <row r="8" spans="2:12" ht="19.5" customHeight="1" x14ac:dyDescent="0.25">
      <c r="B8" s="27">
        <v>45688</v>
      </c>
      <c r="C8" s="28">
        <v>505</v>
      </c>
      <c r="D8" s="29" t="str">
        <f>IFERROR(VLOOKUP(ExpenseLog[[#This Row],[Project No]],ProjectsList[],2,FALSE),"")</f>
        <v>TRK Engineering Services, Inc.</v>
      </c>
      <c r="E8" s="29" t="str">
        <f>IFERROR(VLOOKUP(ExpenseLog[[#This Row],[Project No]],ProjectsList[],3,FALSE),"")</f>
        <v>Holcim - Ada - Inspection</v>
      </c>
      <c r="F8" s="21" t="s">
        <v>199</v>
      </c>
      <c r="G8" s="30">
        <v>1</v>
      </c>
      <c r="H8" s="41" t="s">
        <v>200</v>
      </c>
      <c r="I8" s="40"/>
      <c r="J8" s="43">
        <v>632</v>
      </c>
      <c r="K8" s="30">
        <v>432.36</v>
      </c>
      <c r="L8" s="39">
        <f>ExpenseLog[[#This Row],[Rate]]*ExpenseLog[[#This Row],[Qty]]</f>
        <v>432.36</v>
      </c>
    </row>
    <row r="9" spans="2:12" ht="19.5" customHeight="1" x14ac:dyDescent="0.25">
      <c r="B9" s="27">
        <v>45684</v>
      </c>
      <c r="C9" s="28">
        <v>505</v>
      </c>
      <c r="D9" s="29" t="str">
        <f>IFERROR(VLOOKUP(ExpenseLog[[#This Row],[Project No]],ProjectsList[],2,FALSE),"")</f>
        <v>TRK Engineering Services, Inc.</v>
      </c>
      <c r="E9" s="29" t="str">
        <f>IFERROR(VLOOKUP(ExpenseLog[[#This Row],[Project No]],ProjectsList[],3,FALSE),"")</f>
        <v>Holcim - Ada - Inspection</v>
      </c>
      <c r="F9" s="21" t="s">
        <v>217</v>
      </c>
      <c r="G9" s="30">
        <v>21</v>
      </c>
      <c r="H9" s="41" t="s">
        <v>218</v>
      </c>
      <c r="I9" s="40"/>
      <c r="J9" s="43">
        <v>632</v>
      </c>
      <c r="K9" s="30">
        <v>0.7</v>
      </c>
      <c r="L9" s="39">
        <f>ExpenseLog[[#This Row],[Rate]]*ExpenseLog[[#This Row],[Qty]]</f>
        <v>14.7</v>
      </c>
    </row>
    <row r="10" spans="2:12" ht="19.5" customHeight="1" x14ac:dyDescent="0.25">
      <c r="B10" s="27">
        <v>45688</v>
      </c>
      <c r="C10" s="28">
        <v>505</v>
      </c>
      <c r="D10" s="29" t="str">
        <f>IFERROR(VLOOKUP(ExpenseLog[[#This Row],[Project No]],ProjectsList[],2,FALSE),"")</f>
        <v>TRK Engineering Services, Inc.</v>
      </c>
      <c r="E10" s="29" t="str">
        <f>IFERROR(VLOOKUP(ExpenseLog[[#This Row],[Project No]],ProjectsList[],3,FALSE),"")</f>
        <v>Holcim - Ada - Inspection</v>
      </c>
      <c r="F10" s="21" t="s">
        <v>220</v>
      </c>
      <c r="G10" s="30">
        <v>21</v>
      </c>
      <c r="H10" s="41" t="s">
        <v>218</v>
      </c>
      <c r="I10" s="40"/>
      <c r="J10" s="43">
        <v>632</v>
      </c>
      <c r="K10" s="30">
        <v>0.7</v>
      </c>
      <c r="L10" s="39">
        <f>ExpenseLog[[#This Row],[Rate]]*ExpenseLog[[#This Row],[Qty]]</f>
        <v>14.7</v>
      </c>
    </row>
    <row r="11" spans="2:12" ht="19.5" customHeight="1" x14ac:dyDescent="0.25">
      <c r="B11" s="27">
        <v>45688</v>
      </c>
      <c r="C11" s="28">
        <v>505</v>
      </c>
      <c r="D11" s="29" t="str">
        <f>IFERROR(VLOOKUP(ExpenseLog[[#This Row],[Project No]],ProjectsList[],2,FALSE),"")</f>
        <v>TRK Engineering Services, Inc.</v>
      </c>
      <c r="E11" s="29" t="str">
        <f>IFERROR(VLOOKUP(ExpenseLog[[#This Row],[Project No]],ProjectsList[],3,FALSE),"")</f>
        <v>Holcim - Ada - Inspection</v>
      </c>
      <c r="F11" s="21" t="s">
        <v>219</v>
      </c>
      <c r="G11" s="30">
        <v>5</v>
      </c>
      <c r="H11" s="41" t="s">
        <v>219</v>
      </c>
      <c r="I11" s="40"/>
      <c r="J11" s="43">
        <v>632</v>
      </c>
      <c r="K11" s="30">
        <v>70</v>
      </c>
      <c r="L11" s="39">
        <f>ExpenseLog[[#This Row],[Rate]]*ExpenseLog[[#This Row],[Qty]]</f>
        <v>350</v>
      </c>
    </row>
    <row r="12" spans="2:12" ht="19.5" customHeight="1" x14ac:dyDescent="0.25">
      <c r="B12" s="27">
        <v>45804</v>
      </c>
      <c r="C12" s="28">
        <v>512</v>
      </c>
      <c r="D12" s="29" t="str">
        <f>IFERROR(VLOOKUP(ExpenseLog[[#This Row],[Project No]],ProjectsList[],2,FALSE),"")</f>
        <v>Illinois Cement</v>
      </c>
      <c r="E12" s="29" t="str">
        <f>IFERROR(VLOOKUP(ExpenseLog[[#This Row],[Project No]],ProjectsList[],3,FALSE),"")</f>
        <v>Gasket</v>
      </c>
      <c r="F12" s="21" t="s">
        <v>239</v>
      </c>
      <c r="G12" s="30">
        <v>1</v>
      </c>
      <c r="H12" s="41" t="s">
        <v>239</v>
      </c>
      <c r="I12" s="40"/>
      <c r="J12" s="43">
        <v>639</v>
      </c>
      <c r="K12" s="30">
        <v>35.21</v>
      </c>
      <c r="L12" s="39">
        <f>ExpenseLog[[#This Row],[Rate]]*ExpenseLog[[#This Row],[Qty]]</f>
        <v>35.21</v>
      </c>
    </row>
    <row r="13" spans="2:12" ht="19.5" customHeight="1" x14ac:dyDescent="0.25">
      <c r="B13" s="27">
        <v>45783</v>
      </c>
      <c r="C13" s="28">
        <v>511</v>
      </c>
      <c r="D13" s="29" t="str">
        <f>IFERROR(VLOOKUP(ExpenseLog[[#This Row],[Project No]],ProjectsList[],2,FALSE),"")</f>
        <v>TRK Engineering Services, Inc.</v>
      </c>
      <c r="E13" s="29" t="str">
        <f>IFERROR(VLOOKUP(ExpenseLog[[#This Row],[Project No]],ProjectsList[],3,FALSE),"")</f>
        <v>IP - Riverdale, AL RB1 and RB2</v>
      </c>
      <c r="F13" s="21" t="s">
        <v>247</v>
      </c>
      <c r="G13" s="30">
        <v>1</v>
      </c>
      <c r="H13" s="41" t="s">
        <v>200</v>
      </c>
      <c r="I13" s="40"/>
      <c r="J13" s="43">
        <v>640</v>
      </c>
      <c r="K13" s="30">
        <v>1067.8</v>
      </c>
      <c r="L13" s="39">
        <f>ExpenseLog[[#This Row],[Rate]]*ExpenseLog[[#This Row],[Qty]]</f>
        <v>1067.8</v>
      </c>
    </row>
    <row r="14" spans="2:12" ht="19.5" customHeight="1" x14ac:dyDescent="0.25">
      <c r="B14" s="27">
        <v>45782</v>
      </c>
      <c r="C14" s="28">
        <v>511</v>
      </c>
      <c r="D14" s="29" t="str">
        <f>IFERROR(VLOOKUP(ExpenseLog[[#This Row],[Project No]],ProjectsList[],2,FALSE),"")</f>
        <v>TRK Engineering Services, Inc.</v>
      </c>
      <c r="E14" s="29" t="str">
        <f>IFERROR(VLOOKUP(ExpenseLog[[#This Row],[Project No]],ProjectsList[],3,FALSE),"")</f>
        <v>IP - Riverdale, AL RB1 and RB2</v>
      </c>
      <c r="F14" s="21" t="s">
        <v>248</v>
      </c>
      <c r="G14" s="30">
        <v>1</v>
      </c>
      <c r="H14" s="41" t="s">
        <v>246</v>
      </c>
      <c r="I14" s="40"/>
      <c r="J14" s="43">
        <v>640</v>
      </c>
      <c r="K14" s="30">
        <v>20</v>
      </c>
      <c r="L14" s="39">
        <f>ExpenseLog[[#This Row],[Rate]]*ExpenseLog[[#This Row],[Qty]]</f>
        <v>20</v>
      </c>
    </row>
    <row r="15" spans="2:12" ht="19.5" customHeight="1" x14ac:dyDescent="0.25">
      <c r="B15" s="27">
        <v>45782</v>
      </c>
      <c r="C15" s="28">
        <v>511</v>
      </c>
      <c r="D15" s="29" t="str">
        <f>IFERROR(VLOOKUP(ExpenseLog[[#This Row],[Project No]],ProjectsList[],2,FALSE),"")</f>
        <v>TRK Engineering Services, Inc.</v>
      </c>
      <c r="E15" s="29" t="str">
        <f>IFERROR(VLOOKUP(ExpenseLog[[#This Row],[Project No]],ProjectsList[],3,FALSE),"")</f>
        <v>IP - Riverdale, AL RB1 and RB2</v>
      </c>
      <c r="F15" s="21" t="s">
        <v>248</v>
      </c>
      <c r="G15" s="30">
        <v>1</v>
      </c>
      <c r="H15" s="41" t="s">
        <v>246</v>
      </c>
      <c r="I15" s="40"/>
      <c r="J15" s="43">
        <v>640</v>
      </c>
      <c r="K15" s="30">
        <v>25</v>
      </c>
      <c r="L15" s="39">
        <f>ExpenseLog[[#This Row],[Rate]]*ExpenseLog[[#This Row],[Qty]]</f>
        <v>25</v>
      </c>
    </row>
    <row r="16" spans="2:12" ht="19.5" customHeight="1" x14ac:dyDescent="0.25">
      <c r="B16" s="27">
        <v>45783</v>
      </c>
      <c r="C16" s="28">
        <v>511</v>
      </c>
      <c r="D16" s="29" t="str">
        <f>IFERROR(VLOOKUP(ExpenseLog[[#This Row],[Project No]],ProjectsList[],2,FALSE),"")</f>
        <v>TRK Engineering Services, Inc.</v>
      </c>
      <c r="E16" s="29" t="str">
        <f>IFERROR(VLOOKUP(ExpenseLog[[#This Row],[Project No]],ProjectsList[],3,FALSE),"")</f>
        <v>IP - Riverdale, AL RB1 and RB2</v>
      </c>
      <c r="F16" s="21" t="s">
        <v>144</v>
      </c>
      <c r="G16" s="30">
        <v>152</v>
      </c>
      <c r="H16" s="41" t="s">
        <v>218</v>
      </c>
      <c r="I16" s="40"/>
      <c r="J16" s="43">
        <v>640</v>
      </c>
      <c r="K16" s="30">
        <v>0.68</v>
      </c>
      <c r="L16" s="39">
        <f>ExpenseLog[[#This Row],[Rate]]*ExpenseLog[[#This Row],[Qty]]</f>
        <v>103.36000000000001</v>
      </c>
    </row>
    <row r="17" spans="2:12" ht="19.5" customHeight="1" x14ac:dyDescent="0.25">
      <c r="B17" s="27">
        <v>45784</v>
      </c>
      <c r="C17" s="28">
        <v>511</v>
      </c>
      <c r="D17" s="29" t="str">
        <f>IFERROR(VLOOKUP(ExpenseLog[[#This Row],[Project No]],ProjectsList[],2,FALSE),"")</f>
        <v>TRK Engineering Services, Inc.</v>
      </c>
      <c r="E17" s="29" t="str">
        <f>IFERROR(VLOOKUP(ExpenseLog[[#This Row],[Project No]],ProjectsList[],3,FALSE),"")</f>
        <v>IP - Riverdale, AL RB1 and RB2</v>
      </c>
      <c r="F17" s="21" t="s">
        <v>249</v>
      </c>
      <c r="G17" s="30">
        <v>33</v>
      </c>
      <c r="H17" s="41" t="s">
        <v>218</v>
      </c>
      <c r="I17" s="40"/>
      <c r="J17" s="43">
        <v>640</v>
      </c>
      <c r="K17" s="30">
        <v>0.68</v>
      </c>
      <c r="L17" s="39">
        <f>ExpenseLog[[#This Row],[Rate]]*ExpenseLog[[#This Row],[Qty]]</f>
        <v>22.44</v>
      </c>
    </row>
    <row r="18" spans="2:12" ht="19.5" customHeight="1" x14ac:dyDescent="0.25">
      <c r="B18" s="27">
        <v>45785</v>
      </c>
      <c r="C18" s="28">
        <v>511</v>
      </c>
      <c r="D18" s="29" t="str">
        <f>IFERROR(VLOOKUP(ExpenseLog[[#This Row],[Project No]],ProjectsList[],2,FALSE),"")</f>
        <v>TRK Engineering Services, Inc.</v>
      </c>
      <c r="E18" s="29" t="str">
        <f>IFERROR(VLOOKUP(ExpenseLog[[#This Row],[Project No]],ProjectsList[],3,FALSE),"")</f>
        <v>IP - Riverdale, AL RB1 and RB2</v>
      </c>
      <c r="F18" s="21" t="s">
        <v>249</v>
      </c>
      <c r="G18" s="30">
        <v>33</v>
      </c>
      <c r="H18" s="41" t="s">
        <v>218</v>
      </c>
      <c r="I18" s="40"/>
      <c r="J18" s="43">
        <v>640</v>
      </c>
      <c r="K18" s="30">
        <v>0.68</v>
      </c>
      <c r="L18" s="39">
        <f>ExpenseLog[[#This Row],[Rate]]*ExpenseLog[[#This Row],[Qty]]</f>
        <v>22.44</v>
      </c>
    </row>
    <row r="19" spans="2:12" ht="19.5" customHeight="1" x14ac:dyDescent="0.25">
      <c r="B19" s="27">
        <v>45786</v>
      </c>
      <c r="C19" s="28">
        <v>511</v>
      </c>
      <c r="D19" s="29" t="str">
        <f>IFERROR(VLOOKUP(ExpenseLog[[#This Row],[Project No]],ProjectsList[],2,FALSE),"")</f>
        <v>TRK Engineering Services, Inc.</v>
      </c>
      <c r="E19" s="29" t="str">
        <f>IFERROR(VLOOKUP(ExpenseLog[[#This Row],[Project No]],ProjectsList[],3,FALSE),"")</f>
        <v>IP - Riverdale, AL RB1 and RB2</v>
      </c>
      <c r="F19" s="21" t="s">
        <v>249</v>
      </c>
      <c r="G19" s="30">
        <v>33</v>
      </c>
      <c r="H19" s="41" t="s">
        <v>218</v>
      </c>
      <c r="I19" s="40"/>
      <c r="J19" s="43">
        <v>640</v>
      </c>
      <c r="K19" s="30">
        <v>0.68</v>
      </c>
      <c r="L19" s="39">
        <f>ExpenseLog[[#This Row],[Rate]]*ExpenseLog[[#This Row],[Qty]]</f>
        <v>22.44</v>
      </c>
    </row>
    <row r="20" spans="2:12" ht="19.5" customHeight="1" x14ac:dyDescent="0.25">
      <c r="B20" s="27">
        <v>45787</v>
      </c>
      <c r="C20" s="28">
        <v>511</v>
      </c>
      <c r="D20" s="29" t="str">
        <f>IFERROR(VLOOKUP(ExpenseLog[[#This Row],[Project No]],ProjectsList[],2,FALSE),"")</f>
        <v>TRK Engineering Services, Inc.</v>
      </c>
      <c r="E20" s="29" t="str">
        <f>IFERROR(VLOOKUP(ExpenseLog[[#This Row],[Project No]],ProjectsList[],3,FALSE),"")</f>
        <v>IP - Riverdale, AL RB1 and RB2</v>
      </c>
      <c r="F20" s="21" t="s">
        <v>249</v>
      </c>
      <c r="G20" s="30">
        <v>33</v>
      </c>
      <c r="H20" s="41" t="s">
        <v>218</v>
      </c>
      <c r="I20" s="40"/>
      <c r="J20" s="43">
        <v>640</v>
      </c>
      <c r="K20" s="30">
        <v>0.68</v>
      </c>
      <c r="L20" s="39">
        <f>ExpenseLog[[#This Row],[Rate]]*ExpenseLog[[#This Row],[Qty]]</f>
        <v>22.44</v>
      </c>
    </row>
    <row r="21" spans="2:12" ht="19.5" customHeight="1" x14ac:dyDescent="0.25">
      <c r="B21" s="27">
        <v>45788</v>
      </c>
      <c r="C21" s="28">
        <v>511</v>
      </c>
      <c r="D21" s="29" t="str">
        <f>IFERROR(VLOOKUP(ExpenseLog[[#This Row],[Project No]],ProjectsList[],2,FALSE),"")</f>
        <v>TRK Engineering Services, Inc.</v>
      </c>
      <c r="E21" s="29" t="str">
        <f>IFERROR(VLOOKUP(ExpenseLog[[#This Row],[Project No]],ProjectsList[],3,FALSE),"")</f>
        <v>IP - Riverdale, AL RB1 and RB2</v>
      </c>
      <c r="F21" s="21" t="s">
        <v>249</v>
      </c>
      <c r="G21" s="30">
        <v>33</v>
      </c>
      <c r="H21" s="41" t="s">
        <v>218</v>
      </c>
      <c r="I21" s="40"/>
      <c r="J21" s="43">
        <v>640</v>
      </c>
      <c r="K21" s="30">
        <v>0.68</v>
      </c>
      <c r="L21" s="39">
        <f>ExpenseLog[[#This Row],[Rate]]*ExpenseLog[[#This Row],[Qty]]</f>
        <v>22.44</v>
      </c>
    </row>
    <row r="22" spans="2:12" ht="19.5" customHeight="1" x14ac:dyDescent="0.25">
      <c r="B22" s="27">
        <v>45789</v>
      </c>
      <c r="C22" s="28">
        <v>511</v>
      </c>
      <c r="D22" s="29" t="str">
        <f>IFERROR(VLOOKUP(ExpenseLog[[#This Row],[Project No]],ProjectsList[],2,FALSE),"")</f>
        <v>TRK Engineering Services, Inc.</v>
      </c>
      <c r="E22" s="29" t="str">
        <f>IFERROR(VLOOKUP(ExpenseLog[[#This Row],[Project No]],ProjectsList[],3,FALSE),"")</f>
        <v>IP - Riverdale, AL RB1 and RB2</v>
      </c>
      <c r="F22" s="21" t="s">
        <v>249</v>
      </c>
      <c r="G22" s="30">
        <v>33</v>
      </c>
      <c r="H22" s="41" t="s">
        <v>218</v>
      </c>
      <c r="I22" s="40"/>
      <c r="J22" s="43">
        <v>640</v>
      </c>
      <c r="K22" s="30">
        <v>0.68</v>
      </c>
      <c r="L22" s="39">
        <f>ExpenseLog[[#This Row],[Rate]]*ExpenseLog[[#This Row],[Qty]]</f>
        <v>22.44</v>
      </c>
    </row>
    <row r="23" spans="2:12" ht="19.5" customHeight="1" x14ac:dyDescent="0.25">
      <c r="B23" s="27">
        <v>45790</v>
      </c>
      <c r="C23" s="28">
        <v>511</v>
      </c>
      <c r="D23" s="29" t="str">
        <f>IFERROR(VLOOKUP(ExpenseLog[[#This Row],[Project No]],ProjectsList[],2,FALSE),"")</f>
        <v>TRK Engineering Services, Inc.</v>
      </c>
      <c r="E23" s="29" t="str">
        <f>IFERROR(VLOOKUP(ExpenseLog[[#This Row],[Project No]],ProjectsList[],3,FALSE),"")</f>
        <v>IP - Riverdale, AL RB1 and RB2</v>
      </c>
      <c r="F23" s="21" t="s">
        <v>146</v>
      </c>
      <c r="G23" s="30">
        <v>152</v>
      </c>
      <c r="H23" s="41" t="s">
        <v>218</v>
      </c>
      <c r="I23" s="40"/>
      <c r="J23" s="43">
        <v>640</v>
      </c>
      <c r="K23" s="30">
        <v>0.68</v>
      </c>
      <c r="L23" s="39">
        <f>ExpenseLog[[#This Row],[Rate]]*ExpenseLog[[#This Row],[Qty]]</f>
        <v>103.36000000000001</v>
      </c>
    </row>
    <row r="24" spans="2:12" ht="19.5" customHeight="1" x14ac:dyDescent="0.25">
      <c r="B24" s="27">
        <v>45790</v>
      </c>
      <c r="C24" s="28">
        <v>511</v>
      </c>
      <c r="D24" s="29" t="str">
        <f>IFERROR(VLOOKUP(ExpenseLog[[#This Row],[Project No]],ProjectsList[],2,FALSE),"")</f>
        <v>TRK Engineering Services, Inc.</v>
      </c>
      <c r="E24" s="29" t="str">
        <f>IFERROR(VLOOKUP(ExpenseLog[[#This Row],[Project No]],ProjectsList[],3,FALSE),"")</f>
        <v>IP - Riverdale, AL RB1 and RB2</v>
      </c>
      <c r="F24" s="21" t="s">
        <v>219</v>
      </c>
      <c r="G24" s="30">
        <v>9</v>
      </c>
      <c r="H24" s="41" t="s">
        <v>219</v>
      </c>
      <c r="I24" s="40"/>
      <c r="J24" s="43">
        <v>640</v>
      </c>
      <c r="K24" s="30">
        <v>70</v>
      </c>
      <c r="L24" s="39">
        <f>ExpenseLog[[#This Row],[Rate]]*ExpenseLog[[#This Row],[Qty]]</f>
        <v>630</v>
      </c>
    </row>
    <row r="25" spans="2:12" ht="19.5" customHeight="1" x14ac:dyDescent="0.25">
      <c r="B25" s="27">
        <v>45773</v>
      </c>
      <c r="C25" s="28">
        <v>510</v>
      </c>
      <c r="D25" s="29" t="str">
        <f>IFERROR(VLOOKUP(ExpenseLog[[#This Row],[Project No]],ProjectsList[],2,FALSE),"")</f>
        <v>TRK Engineering Services, Inc.</v>
      </c>
      <c r="E25" s="29" t="str">
        <f>IFERROR(VLOOKUP(ExpenseLog[[#This Row],[Project No]],ProjectsList[],3,FALSE),"")</f>
        <v>OI Brockway Glass</v>
      </c>
      <c r="F25" s="21" t="s">
        <v>259</v>
      </c>
      <c r="G25" s="30">
        <v>1</v>
      </c>
      <c r="H25" s="41" t="s">
        <v>191</v>
      </c>
      <c r="I25" s="40"/>
      <c r="J25" s="43">
        <v>642</v>
      </c>
      <c r="K25" s="30">
        <v>809.86</v>
      </c>
      <c r="L25" s="39">
        <f>ExpenseLog[[#This Row],[Rate]]*ExpenseLog[[#This Row],[Qty]]</f>
        <v>809.86</v>
      </c>
    </row>
    <row r="26" spans="2:12" ht="19.5" customHeight="1" x14ac:dyDescent="0.25">
      <c r="B26" s="27">
        <v>45773</v>
      </c>
      <c r="C26" s="28">
        <v>510</v>
      </c>
      <c r="D26" s="29" t="str">
        <f>IFERROR(VLOOKUP(ExpenseLog[[#This Row],[Project No]],ProjectsList[],2,FALSE),"")</f>
        <v>TRK Engineering Services, Inc.</v>
      </c>
      <c r="E26" s="29" t="str">
        <f>IFERROR(VLOOKUP(ExpenseLog[[#This Row],[Project No]],ProjectsList[],3,FALSE),"")</f>
        <v>OI Brockway Glass</v>
      </c>
      <c r="F26" s="21" t="s">
        <v>260</v>
      </c>
      <c r="G26" s="30">
        <v>1</v>
      </c>
      <c r="H26" s="41" t="s">
        <v>198</v>
      </c>
      <c r="I26" s="40"/>
      <c r="J26" s="43">
        <v>642</v>
      </c>
      <c r="K26" s="30">
        <v>31.09</v>
      </c>
      <c r="L26" s="39">
        <f>ExpenseLog[[#This Row],[Rate]]*ExpenseLog[[#This Row],[Qty]]</f>
        <v>31.09</v>
      </c>
    </row>
    <row r="27" spans="2:12" ht="19.5" customHeight="1" x14ac:dyDescent="0.25">
      <c r="B27" s="27">
        <v>45773</v>
      </c>
      <c r="C27" s="28">
        <v>510</v>
      </c>
      <c r="D27" s="29" t="str">
        <f>IFERROR(VLOOKUP(ExpenseLog[[#This Row],[Project No]],ProjectsList[],2,FALSE),"")</f>
        <v>TRK Engineering Services, Inc.</v>
      </c>
      <c r="E27" s="29" t="str">
        <f>IFERROR(VLOOKUP(ExpenseLog[[#This Row],[Project No]],ProjectsList[],3,FALSE),"")</f>
        <v>OI Brockway Glass</v>
      </c>
      <c r="F27" s="21" t="s">
        <v>261</v>
      </c>
      <c r="G27" s="30">
        <v>1</v>
      </c>
      <c r="H27" s="41" t="s">
        <v>194</v>
      </c>
      <c r="I27" s="40"/>
      <c r="J27" s="43">
        <v>642</v>
      </c>
      <c r="K27" s="30">
        <v>45.5</v>
      </c>
      <c r="L27" s="39">
        <f>ExpenseLog[[#This Row],[Rate]]*ExpenseLog[[#This Row],[Qty]]</f>
        <v>45.5</v>
      </c>
    </row>
    <row r="28" spans="2:12" ht="19.5" customHeight="1" x14ac:dyDescent="0.25">
      <c r="B28" s="27">
        <v>45773</v>
      </c>
      <c r="C28" s="28">
        <v>510</v>
      </c>
      <c r="D28" s="29" t="str">
        <f>IFERROR(VLOOKUP(ExpenseLog[[#This Row],[Project No]],ProjectsList[],2,FALSE),"")</f>
        <v>TRK Engineering Services, Inc.</v>
      </c>
      <c r="E28" s="29" t="str">
        <f>IFERROR(VLOOKUP(ExpenseLog[[#This Row],[Project No]],ProjectsList[],3,FALSE),"")</f>
        <v>OI Brockway Glass</v>
      </c>
      <c r="F28" s="21" t="s">
        <v>195</v>
      </c>
      <c r="G28" s="30">
        <v>1</v>
      </c>
      <c r="H28" s="41" t="s">
        <v>196</v>
      </c>
      <c r="I28" s="40"/>
      <c r="J28" s="43">
        <v>642</v>
      </c>
      <c r="K28" s="30">
        <v>518.11</v>
      </c>
      <c r="L28" s="39">
        <f>ExpenseLog[[#This Row],[Rate]]*ExpenseLog[[#This Row],[Qty]]</f>
        <v>518.11</v>
      </c>
    </row>
    <row r="29" spans="2:12" ht="19.5" customHeight="1" x14ac:dyDescent="0.25">
      <c r="B29" s="27">
        <v>45773</v>
      </c>
      <c r="C29" s="28">
        <v>510</v>
      </c>
      <c r="D29" s="29" t="str">
        <f>IFERROR(VLOOKUP(ExpenseLog[[#This Row],[Project No]],ProjectsList[],2,FALSE),"")</f>
        <v>TRK Engineering Services, Inc.</v>
      </c>
      <c r="E29" s="29" t="str">
        <f>IFERROR(VLOOKUP(ExpenseLog[[#This Row],[Project No]],ProjectsList[],3,FALSE),"")</f>
        <v>OI Brockway Glass</v>
      </c>
      <c r="F29" s="21" t="s">
        <v>262</v>
      </c>
      <c r="G29" s="30">
        <v>1</v>
      </c>
      <c r="H29" s="41" t="s">
        <v>200</v>
      </c>
      <c r="I29" s="40"/>
      <c r="J29" s="43">
        <v>642</v>
      </c>
      <c r="K29" s="30">
        <v>531.52</v>
      </c>
      <c r="L29" s="39">
        <f>ExpenseLog[[#This Row],[Rate]]*ExpenseLog[[#This Row],[Qty]]</f>
        <v>531.52</v>
      </c>
    </row>
    <row r="30" spans="2:12" ht="19.5" customHeight="1" x14ac:dyDescent="0.25">
      <c r="B30" s="27">
        <v>45773</v>
      </c>
      <c r="C30" s="28">
        <v>510</v>
      </c>
      <c r="D30" s="29" t="str">
        <f>IFERROR(VLOOKUP(ExpenseLog[[#This Row],[Project No]],ProjectsList[],2,FALSE),"")</f>
        <v>TRK Engineering Services, Inc.</v>
      </c>
      <c r="E30" s="29" t="str">
        <f>IFERROR(VLOOKUP(ExpenseLog[[#This Row],[Project No]],ProjectsList[],3,FALSE),"")</f>
        <v>OI Brockway Glass</v>
      </c>
      <c r="F30" s="21" t="s">
        <v>219</v>
      </c>
      <c r="G30" s="30">
        <v>5</v>
      </c>
      <c r="H30" s="41" t="s">
        <v>219</v>
      </c>
      <c r="I30" s="40"/>
      <c r="J30" s="43">
        <v>642</v>
      </c>
      <c r="K30" s="30">
        <v>70</v>
      </c>
      <c r="L30" s="39">
        <f>ExpenseLog[[#This Row],[Rate]]*ExpenseLog[[#This Row],[Qty]]</f>
        <v>350</v>
      </c>
    </row>
    <row r="31" spans="2:12" ht="19.5" customHeight="1" x14ac:dyDescent="0.25">
      <c r="B31" s="27">
        <v>45773</v>
      </c>
      <c r="C31" s="28">
        <v>510</v>
      </c>
      <c r="D31" s="29" t="str">
        <f>IFERROR(VLOOKUP(ExpenseLog[[#This Row],[Project No]],ProjectsList[],2,FALSE),"")</f>
        <v>TRK Engineering Services, Inc.</v>
      </c>
      <c r="E31" s="29" t="str">
        <f>IFERROR(VLOOKUP(ExpenseLog[[#This Row],[Project No]],ProjectsList[],3,FALSE),"")</f>
        <v>OI Brockway Glass</v>
      </c>
      <c r="F31" s="21" t="s">
        <v>217</v>
      </c>
      <c r="G31" s="30">
        <v>21</v>
      </c>
      <c r="H31" s="41" t="s">
        <v>218</v>
      </c>
      <c r="I31" s="40"/>
      <c r="J31" s="43">
        <v>642</v>
      </c>
      <c r="K31" s="30">
        <v>0.68</v>
      </c>
      <c r="L31" s="39">
        <f>ExpenseLog[[#This Row],[Rate]]*ExpenseLog[[#This Row],[Qty]]</f>
        <v>14.280000000000001</v>
      </c>
    </row>
    <row r="32" spans="2:12" ht="19.5" customHeight="1" x14ac:dyDescent="0.25">
      <c r="B32" s="27">
        <v>45773</v>
      </c>
      <c r="C32" s="28">
        <v>510</v>
      </c>
      <c r="D32" s="29" t="str">
        <f>IFERROR(VLOOKUP(ExpenseLog[[#This Row],[Project No]],ProjectsList[],2,FALSE),"")</f>
        <v>TRK Engineering Services, Inc.</v>
      </c>
      <c r="E32" s="29" t="str">
        <f>IFERROR(VLOOKUP(ExpenseLog[[#This Row],[Project No]],ProjectsList[],3,FALSE),"")</f>
        <v>OI Brockway Glass</v>
      </c>
      <c r="F32" s="21" t="s">
        <v>220</v>
      </c>
      <c r="G32" s="30">
        <v>21</v>
      </c>
      <c r="H32" s="41" t="s">
        <v>218</v>
      </c>
      <c r="I32" s="40"/>
      <c r="J32" s="43">
        <v>642</v>
      </c>
      <c r="K32" s="30">
        <v>0.68</v>
      </c>
      <c r="L32" s="39">
        <f>ExpenseLog[[#This Row],[Rate]]*ExpenseLog[[#This Row],[Qty]]</f>
        <v>14.280000000000001</v>
      </c>
    </row>
    <row r="33" spans="2:12" ht="19.5" customHeight="1" x14ac:dyDescent="0.25">
      <c r="B33" s="27">
        <v>45914</v>
      </c>
      <c r="C33" s="28">
        <v>517</v>
      </c>
      <c r="D33" s="29" t="str">
        <f>IFERROR(VLOOKUP(ExpenseLog[[#This Row],[Project No]],ProjectsList[],2,FALSE),"")</f>
        <v>TRK Engineering Services, Inc.</v>
      </c>
      <c r="E33" s="29" t="str">
        <f>IFERROR(VLOOKUP(ExpenseLog[[#This Row],[Project No]],ProjectsList[],3,FALSE),"")</f>
        <v>TRK - Ardagh-Pevely Conveyor</v>
      </c>
      <c r="F33" s="21" t="s">
        <v>217</v>
      </c>
      <c r="G33" s="30">
        <v>21</v>
      </c>
      <c r="H33" s="41" t="s">
        <v>218</v>
      </c>
      <c r="I33" s="40"/>
      <c r="J33" s="43">
        <v>651</v>
      </c>
      <c r="K33" s="30">
        <v>0.68</v>
      </c>
      <c r="L33" s="39">
        <f>ExpenseLog[[#This Row],[Rate]]*ExpenseLog[[#This Row],[Qty]]</f>
        <v>14.280000000000001</v>
      </c>
    </row>
    <row r="34" spans="2:12" ht="19.5" customHeight="1" x14ac:dyDescent="0.25">
      <c r="B34" s="27">
        <v>45914</v>
      </c>
      <c r="C34" s="28">
        <v>517</v>
      </c>
      <c r="D34" s="29" t="str">
        <f>IFERROR(VLOOKUP(ExpenseLog[[#This Row],[Project No]],ProjectsList[],2,FALSE),"")</f>
        <v>TRK Engineering Services, Inc.</v>
      </c>
      <c r="E34" s="29" t="str">
        <f>IFERROR(VLOOKUP(ExpenseLog[[#This Row],[Project No]],ProjectsList[],3,FALSE),"")</f>
        <v>TRK - Ardagh-Pevely Conveyor</v>
      </c>
      <c r="F34" s="21" t="s">
        <v>192</v>
      </c>
      <c r="G34" s="30">
        <v>1</v>
      </c>
      <c r="H34" s="41" t="s">
        <v>191</v>
      </c>
      <c r="I34" s="40"/>
      <c r="J34" s="43">
        <v>651</v>
      </c>
      <c r="K34" s="30">
        <v>1088.46</v>
      </c>
      <c r="L34" s="39">
        <f>ExpenseLog[[#This Row],[Rate]]*ExpenseLog[[#This Row],[Qty]]</f>
        <v>1088.46</v>
      </c>
    </row>
    <row r="35" spans="2:12" ht="19.5" customHeight="1" x14ac:dyDescent="0.25">
      <c r="B35" s="27">
        <v>45914</v>
      </c>
      <c r="C35" s="28">
        <v>517</v>
      </c>
      <c r="D35" s="29" t="str">
        <f>IFERROR(VLOOKUP(ExpenseLog[[#This Row],[Project No]],ProjectsList[],2,FALSE),"")</f>
        <v>TRK Engineering Services, Inc.</v>
      </c>
      <c r="E35" s="29" t="str">
        <f>IFERROR(VLOOKUP(ExpenseLog[[#This Row],[Project No]],ProjectsList[],3,FALSE),"")</f>
        <v>TRK - Ardagh-Pevely Conveyor</v>
      </c>
      <c r="F35" s="21" t="s">
        <v>195</v>
      </c>
      <c r="G35" s="30">
        <v>1</v>
      </c>
      <c r="H35" s="41" t="s">
        <v>196</v>
      </c>
      <c r="I35" s="40"/>
      <c r="J35" s="43">
        <v>651</v>
      </c>
      <c r="K35" s="30">
        <v>136.47</v>
      </c>
      <c r="L35" s="39">
        <f>ExpenseLog[[#This Row],[Rate]]*ExpenseLog[[#This Row],[Qty]]</f>
        <v>136.47</v>
      </c>
    </row>
    <row r="36" spans="2:12" ht="19.5" customHeight="1" x14ac:dyDescent="0.25">
      <c r="B36" s="27">
        <v>45914</v>
      </c>
      <c r="C36" s="28">
        <v>517</v>
      </c>
      <c r="D36" s="29" t="str">
        <f>IFERROR(VLOOKUP(ExpenseLog[[#This Row],[Project No]],ProjectsList[],2,FALSE),"")</f>
        <v>TRK Engineering Services, Inc.</v>
      </c>
      <c r="E36" s="29" t="str">
        <f>IFERROR(VLOOKUP(ExpenseLog[[#This Row],[Project No]],ProjectsList[],3,FALSE),"")</f>
        <v>TRK - Ardagh-Pevely Conveyor</v>
      </c>
      <c r="F36" s="21" t="s">
        <v>285</v>
      </c>
      <c r="G36" s="30">
        <v>1</v>
      </c>
      <c r="H36" s="41" t="s">
        <v>198</v>
      </c>
      <c r="I36" s="40"/>
      <c r="J36" s="43">
        <v>651</v>
      </c>
      <c r="K36" s="30">
        <v>7.5</v>
      </c>
      <c r="L36" s="39">
        <f>ExpenseLog[[#This Row],[Rate]]*ExpenseLog[[#This Row],[Qty]]</f>
        <v>7.5</v>
      </c>
    </row>
    <row r="37" spans="2:12" ht="19.5" customHeight="1" x14ac:dyDescent="0.25">
      <c r="B37" s="27">
        <v>45914</v>
      </c>
      <c r="C37" s="28">
        <v>517</v>
      </c>
      <c r="D37" s="29" t="str">
        <f>IFERROR(VLOOKUP(ExpenseLog[[#This Row],[Project No]],ProjectsList[],2,FALSE),"")</f>
        <v>TRK Engineering Services, Inc.</v>
      </c>
      <c r="E37" s="29" t="str">
        <f>IFERROR(VLOOKUP(ExpenseLog[[#This Row],[Project No]],ProjectsList[],3,FALSE),"")</f>
        <v>TRK - Ardagh-Pevely Conveyor</v>
      </c>
      <c r="F37" s="21" t="s">
        <v>286</v>
      </c>
      <c r="G37" s="30">
        <v>1</v>
      </c>
      <c r="H37" s="41" t="s">
        <v>200</v>
      </c>
      <c r="I37" s="40"/>
      <c r="J37" s="43">
        <v>651</v>
      </c>
      <c r="K37" s="30">
        <v>271.31</v>
      </c>
      <c r="L37" s="39">
        <f>ExpenseLog[[#This Row],[Rate]]*ExpenseLog[[#This Row],[Qty]]</f>
        <v>271.31</v>
      </c>
    </row>
    <row r="38" spans="2:12" ht="19.5" customHeight="1" x14ac:dyDescent="0.25">
      <c r="B38" s="27">
        <v>45914</v>
      </c>
      <c r="C38" s="28">
        <v>517</v>
      </c>
      <c r="D38" s="29" t="str">
        <f>IFERROR(VLOOKUP(ExpenseLog[[#This Row],[Project No]],ProjectsList[],2,FALSE),"")</f>
        <v>TRK Engineering Services, Inc.</v>
      </c>
      <c r="E38" s="29" t="str">
        <f>IFERROR(VLOOKUP(ExpenseLog[[#This Row],[Project No]],ProjectsList[],3,FALSE),"")</f>
        <v>TRK - Ardagh-Pevely Conveyor</v>
      </c>
      <c r="F38" s="21" t="s">
        <v>286</v>
      </c>
      <c r="G38" s="30">
        <v>-1</v>
      </c>
      <c r="H38" s="41" t="s">
        <v>200</v>
      </c>
      <c r="I38" s="40"/>
      <c r="J38" s="43">
        <v>651</v>
      </c>
      <c r="K38" s="30">
        <v>150.84</v>
      </c>
      <c r="L38" s="39">
        <f>ExpenseLog[[#This Row],[Rate]]*ExpenseLog[[#This Row],[Qty]]</f>
        <v>-150.84</v>
      </c>
    </row>
    <row r="39" spans="2:12" ht="19.5" customHeight="1" x14ac:dyDescent="0.25">
      <c r="B39" s="27">
        <v>45914</v>
      </c>
      <c r="C39" s="28">
        <v>517</v>
      </c>
      <c r="D39" s="29" t="str">
        <f>IFERROR(VLOOKUP(ExpenseLog[[#This Row],[Project No]],ProjectsList[],2,FALSE),"")</f>
        <v>TRK Engineering Services, Inc.</v>
      </c>
      <c r="E39" s="29" t="str">
        <f>IFERROR(VLOOKUP(ExpenseLog[[#This Row],[Project No]],ProjectsList[],3,FALSE),"")</f>
        <v>TRK - Ardagh-Pevely Conveyor</v>
      </c>
      <c r="F39" s="21" t="s">
        <v>219</v>
      </c>
      <c r="G39" s="30">
        <v>2</v>
      </c>
      <c r="H39" s="41" t="s">
        <v>219</v>
      </c>
      <c r="I39" s="40"/>
      <c r="J39" s="43">
        <v>651</v>
      </c>
      <c r="K39" s="30">
        <v>70</v>
      </c>
      <c r="L39" s="39">
        <f>ExpenseLog[[#This Row],[Rate]]*ExpenseLog[[#This Row],[Qty]]</f>
        <v>140</v>
      </c>
    </row>
    <row r="40" spans="2:12" ht="19.5" customHeight="1" x14ac:dyDescent="0.25">
      <c r="B40" s="27">
        <v>45914</v>
      </c>
      <c r="C40" s="28">
        <v>517</v>
      </c>
      <c r="D40" s="29" t="str">
        <f>IFERROR(VLOOKUP(ExpenseLog[[#This Row],[Project No]],ProjectsList[],2,FALSE),"")</f>
        <v>TRK Engineering Services, Inc.</v>
      </c>
      <c r="E40" s="29" t="str">
        <f>IFERROR(VLOOKUP(ExpenseLog[[#This Row],[Project No]],ProjectsList[],3,FALSE),"")</f>
        <v>TRK - Ardagh-Pevely Conveyor</v>
      </c>
      <c r="F40" s="21" t="s">
        <v>194</v>
      </c>
      <c r="G40" s="30">
        <v>1</v>
      </c>
      <c r="H40" s="41" t="s">
        <v>194</v>
      </c>
      <c r="I40" s="40"/>
      <c r="J40" s="43">
        <v>651</v>
      </c>
      <c r="K40" s="30">
        <v>15.54</v>
      </c>
      <c r="L40" s="39">
        <f>ExpenseLog[[#This Row],[Rate]]*ExpenseLog[[#This Row],[Qty]]</f>
        <v>15.54</v>
      </c>
    </row>
    <row r="41" spans="2:12" ht="19.5" customHeight="1" x14ac:dyDescent="0.25">
      <c r="B41" s="27">
        <v>45914</v>
      </c>
      <c r="C41" s="28">
        <v>517</v>
      </c>
      <c r="D41" s="29" t="str">
        <f>IFERROR(VLOOKUP(ExpenseLog[[#This Row],[Project No]],ProjectsList[],2,FALSE),"")</f>
        <v>TRK Engineering Services, Inc.</v>
      </c>
      <c r="E41" s="29" t="str">
        <f>IFERROR(VLOOKUP(ExpenseLog[[#This Row],[Project No]],ProjectsList[],3,FALSE),"")</f>
        <v>TRK - Ardagh-Pevely Conveyor</v>
      </c>
      <c r="F41" s="21" t="s">
        <v>220</v>
      </c>
      <c r="G41" s="30">
        <v>21</v>
      </c>
      <c r="H41" s="41" t="s">
        <v>218</v>
      </c>
      <c r="I41" s="40"/>
      <c r="J41" s="43">
        <v>651</v>
      </c>
      <c r="K41" s="30">
        <v>0.68</v>
      </c>
      <c r="L41" s="39">
        <f>ExpenseLog[[#This Row],[Rate]]*ExpenseLog[[#This Row],[Qty]]</f>
        <v>14.280000000000001</v>
      </c>
    </row>
    <row r="42" spans="2:12" ht="19.5" customHeight="1" x14ac:dyDescent="0.25">
      <c r="B42" s="27">
        <v>45929</v>
      </c>
      <c r="C42" s="28">
        <v>519</v>
      </c>
      <c r="D42" s="29" t="str">
        <f>IFERROR(VLOOKUP(ExpenseLog[[#This Row],[Project No]],ProjectsList[],2,FALSE),"")</f>
        <v>TRK Engineering Services, Inc.</v>
      </c>
      <c r="E42" s="29" t="str">
        <f>IFERROR(VLOOKUP(ExpenseLog[[#This Row],[Project No]],ProjectsList[],3,FALSE),"")</f>
        <v>IP - Pine Hill, AL</v>
      </c>
      <c r="F42" s="21" t="s">
        <v>195</v>
      </c>
      <c r="G42" s="30">
        <v>1</v>
      </c>
      <c r="H42" s="41" t="s">
        <v>196</v>
      </c>
      <c r="I42" s="40"/>
      <c r="J42" s="43">
        <v>652</v>
      </c>
      <c r="K42" s="30">
        <v>295.62</v>
      </c>
      <c r="L42" s="39">
        <f>ExpenseLog[[#This Row],[Rate]]*ExpenseLog[[#This Row],[Qty]]</f>
        <v>295.62</v>
      </c>
    </row>
    <row r="43" spans="2:12" ht="19.5" customHeight="1" x14ac:dyDescent="0.25">
      <c r="B43" s="27">
        <v>45929</v>
      </c>
      <c r="C43" s="28">
        <v>519</v>
      </c>
      <c r="D43" s="29" t="str">
        <f>IFERROR(VLOOKUP(ExpenseLog[[#This Row],[Project No]],ProjectsList[],2,FALSE),"")</f>
        <v>TRK Engineering Services, Inc.</v>
      </c>
      <c r="E43" s="29" t="str">
        <f>IFERROR(VLOOKUP(ExpenseLog[[#This Row],[Project No]],ProjectsList[],3,FALSE),"")</f>
        <v>IP - Pine Hill, AL</v>
      </c>
      <c r="F43" s="21" t="s">
        <v>296</v>
      </c>
      <c r="G43" s="30">
        <v>1</v>
      </c>
      <c r="H43" s="41" t="s">
        <v>200</v>
      </c>
      <c r="I43" s="40"/>
      <c r="J43" s="43">
        <v>652</v>
      </c>
      <c r="K43" s="30">
        <v>272.39</v>
      </c>
      <c r="L43" s="39">
        <f>ExpenseLog[[#This Row],[Rate]]*ExpenseLog[[#This Row],[Qty]]</f>
        <v>272.39</v>
      </c>
    </row>
    <row r="44" spans="2:12" ht="19.5" customHeight="1" x14ac:dyDescent="0.25">
      <c r="B44" s="27">
        <v>45929</v>
      </c>
      <c r="C44" s="28">
        <v>519</v>
      </c>
      <c r="D44" s="29" t="str">
        <f>IFERROR(VLOOKUP(ExpenseLog[[#This Row],[Project No]],ProjectsList[],2,FALSE),"")</f>
        <v>TRK Engineering Services, Inc.</v>
      </c>
      <c r="E44" s="29" t="str">
        <f>IFERROR(VLOOKUP(ExpenseLog[[#This Row],[Project No]],ProjectsList[],3,FALSE),"")</f>
        <v>IP - Pine Hill, AL</v>
      </c>
      <c r="F44" s="21" t="s">
        <v>290</v>
      </c>
      <c r="G44" s="30">
        <v>2</v>
      </c>
      <c r="H44" s="41" t="s">
        <v>246</v>
      </c>
      <c r="I44" s="40"/>
      <c r="J44" s="43">
        <v>652</v>
      </c>
      <c r="K44" s="30">
        <v>20</v>
      </c>
      <c r="L44" s="39">
        <f>ExpenseLog[[#This Row],[Rate]]*ExpenseLog[[#This Row],[Qty]]</f>
        <v>40</v>
      </c>
    </row>
    <row r="45" spans="2:12" ht="19.5" customHeight="1" x14ac:dyDescent="0.25">
      <c r="B45" s="27">
        <v>45929</v>
      </c>
      <c r="C45" s="28">
        <v>519</v>
      </c>
      <c r="D45" s="29" t="str">
        <f>IFERROR(VLOOKUP(ExpenseLog[[#This Row],[Project No]],ProjectsList[],2,FALSE),"")</f>
        <v>TRK Engineering Services, Inc.</v>
      </c>
      <c r="E45" s="29" t="str">
        <f>IFERROR(VLOOKUP(ExpenseLog[[#This Row],[Project No]],ProjectsList[],3,FALSE),"")</f>
        <v>IP - Pine Hill, AL</v>
      </c>
      <c r="F45" s="21" t="s">
        <v>219</v>
      </c>
      <c r="G45" s="30">
        <v>1</v>
      </c>
      <c r="H45" s="41" t="s">
        <v>219</v>
      </c>
      <c r="I45" s="40"/>
      <c r="J45" s="43">
        <v>652</v>
      </c>
      <c r="K45" s="30">
        <v>70</v>
      </c>
      <c r="L45" s="39">
        <f>ExpenseLog[[#This Row],[Rate]]*ExpenseLog[[#This Row],[Qty]]</f>
        <v>70</v>
      </c>
    </row>
    <row r="46" spans="2:12" ht="19.5" customHeight="1" x14ac:dyDescent="0.25">
      <c r="B46" s="27">
        <v>45929</v>
      </c>
      <c r="C46" s="28">
        <v>519</v>
      </c>
      <c r="D46" s="29" t="str">
        <f>IFERROR(VLOOKUP(ExpenseLog[[#This Row],[Project No]],ProjectsList[],2,FALSE),"")</f>
        <v>TRK Engineering Services, Inc.</v>
      </c>
      <c r="E46" s="29" t="str">
        <f>IFERROR(VLOOKUP(ExpenseLog[[#This Row],[Project No]],ProjectsList[],3,FALSE),"")</f>
        <v>IP - Pine Hill, AL</v>
      </c>
      <c r="F46" s="21" t="s">
        <v>291</v>
      </c>
      <c r="G46" s="30">
        <v>1</v>
      </c>
      <c r="H46" s="41" t="s">
        <v>198</v>
      </c>
      <c r="I46" s="40"/>
      <c r="J46" s="43">
        <v>652</v>
      </c>
      <c r="K46" s="30">
        <v>61.85</v>
      </c>
      <c r="L46" s="39">
        <f>ExpenseLog[[#This Row],[Rate]]*ExpenseLog[[#This Row],[Qty]]</f>
        <v>61.85</v>
      </c>
    </row>
    <row r="47" spans="2:12" ht="19.5" customHeight="1" x14ac:dyDescent="0.25">
      <c r="B47" s="27">
        <v>45929</v>
      </c>
      <c r="C47" s="28">
        <v>520</v>
      </c>
      <c r="D47" s="29" t="s">
        <v>36</v>
      </c>
      <c r="E47" s="29" t="str">
        <f>IFERROR(VLOOKUP(ExpenseLog[[#This Row],[Project No]],ProjectsList[],3,FALSE),"")</f>
        <v>IP - Riverdale, AL BB2</v>
      </c>
      <c r="F47" s="21" t="s">
        <v>294</v>
      </c>
      <c r="G47" s="30">
        <v>1</v>
      </c>
      <c r="H47" s="41" t="s">
        <v>200</v>
      </c>
      <c r="I47" s="40"/>
      <c r="J47" s="43">
        <v>653</v>
      </c>
      <c r="K47" s="30">
        <v>425.78</v>
      </c>
      <c r="L47" s="39">
        <f>ExpenseLog[[#This Row],[Rate]]*ExpenseLog[[#This Row],[Qty]]</f>
        <v>425.78</v>
      </c>
    </row>
    <row r="48" spans="2:12" ht="19.5" customHeight="1" x14ac:dyDescent="0.25">
      <c r="B48" s="27">
        <v>45929</v>
      </c>
      <c r="C48" s="28">
        <v>520</v>
      </c>
      <c r="D48" s="29" t="str">
        <f>IFERROR(VLOOKUP(ExpenseLog[[#This Row],[Project No]],ProjectsList[],2,FALSE),"")</f>
        <v>TRK Engineering Services, Inc.</v>
      </c>
      <c r="E48" s="29" t="str">
        <f>IFERROR(VLOOKUP(ExpenseLog[[#This Row],[Project No]],ProjectsList[],3,FALSE),"")</f>
        <v>IP - Riverdale, AL BB2</v>
      </c>
      <c r="F48" s="21" t="s">
        <v>195</v>
      </c>
      <c r="G48" s="30">
        <v>1</v>
      </c>
      <c r="H48" s="41" t="s">
        <v>196</v>
      </c>
      <c r="I48" s="40"/>
      <c r="J48" s="43">
        <v>653</v>
      </c>
      <c r="K48" s="30">
        <v>394.12</v>
      </c>
      <c r="L48" s="39">
        <f>ExpenseLog[[#This Row],[Rate]]*ExpenseLog[[#This Row],[Qty]]</f>
        <v>394.12</v>
      </c>
    </row>
    <row r="49" spans="2:12" ht="19.5" customHeight="1" x14ac:dyDescent="0.25">
      <c r="B49" s="27">
        <v>45929</v>
      </c>
      <c r="C49" s="28">
        <v>520</v>
      </c>
      <c r="D49" s="29" t="str">
        <f>IFERROR(VLOOKUP(ExpenseLog[[#This Row],[Project No]],ProjectsList[],2,FALSE),"")</f>
        <v>TRK Engineering Services, Inc.</v>
      </c>
      <c r="E49" s="29" t="str">
        <f>IFERROR(VLOOKUP(ExpenseLog[[#This Row],[Project No]],ProjectsList[],3,FALSE),"")</f>
        <v>IP - Riverdale, AL BB2</v>
      </c>
      <c r="F49" s="21" t="s">
        <v>291</v>
      </c>
      <c r="G49" s="30">
        <v>1</v>
      </c>
      <c r="H49" s="41" t="s">
        <v>198</v>
      </c>
      <c r="I49" s="40"/>
      <c r="J49" s="43">
        <v>653</v>
      </c>
      <c r="K49" s="30">
        <v>23.88</v>
      </c>
      <c r="L49" s="39">
        <f>ExpenseLog[[#This Row],[Rate]]*ExpenseLog[[#This Row],[Qty]]</f>
        <v>23.88</v>
      </c>
    </row>
    <row r="50" spans="2:12" ht="19.5" customHeight="1" x14ac:dyDescent="0.25">
      <c r="B50" s="27">
        <v>45929</v>
      </c>
      <c r="C50" s="28">
        <v>520</v>
      </c>
      <c r="D50" s="29" t="str">
        <f>IFERROR(VLOOKUP(ExpenseLog[[#This Row],[Project No]],ProjectsList[],2,FALSE),"")</f>
        <v>TRK Engineering Services, Inc.</v>
      </c>
      <c r="E50" s="29" t="str">
        <f>IFERROR(VLOOKUP(ExpenseLog[[#This Row],[Project No]],ProjectsList[],3,FALSE),"")</f>
        <v>IP - Riverdale, AL BB2</v>
      </c>
      <c r="F50" s="21" t="s">
        <v>292</v>
      </c>
      <c r="G50" s="30">
        <v>1</v>
      </c>
      <c r="H50" s="41" t="s">
        <v>246</v>
      </c>
      <c r="I50" s="40"/>
      <c r="J50" s="43">
        <v>653</v>
      </c>
      <c r="K50" s="30">
        <v>18.989999999999998</v>
      </c>
      <c r="L50" s="39">
        <f>ExpenseLog[[#This Row],[Rate]]*ExpenseLog[[#This Row],[Qty]]</f>
        <v>18.989999999999998</v>
      </c>
    </row>
    <row r="51" spans="2:12" ht="19.5" customHeight="1" x14ac:dyDescent="0.25">
      <c r="B51" s="27">
        <v>45929</v>
      </c>
      <c r="C51" s="28">
        <v>520</v>
      </c>
      <c r="D51" s="29" t="str">
        <f>IFERROR(VLOOKUP(ExpenseLog[[#This Row],[Project No]],ProjectsList[],2,FALSE),"")</f>
        <v>TRK Engineering Services, Inc.</v>
      </c>
      <c r="E51" s="29" t="str">
        <f>IFERROR(VLOOKUP(ExpenseLog[[#This Row],[Project No]],ProjectsList[],3,FALSE),"")</f>
        <v>IP - Riverdale, AL BB2</v>
      </c>
      <c r="F51" s="21" t="s">
        <v>295</v>
      </c>
      <c r="G51" s="30">
        <v>4</v>
      </c>
      <c r="H51" s="41" t="s">
        <v>219</v>
      </c>
      <c r="I51" s="40"/>
      <c r="J51" s="43">
        <v>653</v>
      </c>
      <c r="K51" s="30">
        <v>70</v>
      </c>
      <c r="L51" s="39">
        <f>ExpenseLog[[#This Row],[Rate]]*ExpenseLog[[#This Row],[Qty]]</f>
        <v>280</v>
      </c>
    </row>
    <row r="52" spans="2:12" ht="19.5" customHeight="1" x14ac:dyDescent="0.25">
      <c r="B52" s="27">
        <v>45935</v>
      </c>
      <c r="C52" s="28">
        <v>520</v>
      </c>
      <c r="D52" s="29" t="str">
        <f>IFERROR(VLOOKUP(ExpenseLog[[#This Row],[Project No]],ProjectsList[],2,FALSE),"")</f>
        <v>TRK Engineering Services, Inc.</v>
      </c>
      <c r="E52" s="29" t="str">
        <f>IFERROR(VLOOKUP(ExpenseLog[[#This Row],[Project No]],ProjectsList[],3,FALSE),"")</f>
        <v>IP - Riverdale, AL BB2</v>
      </c>
      <c r="F52" s="21" t="s">
        <v>297</v>
      </c>
      <c r="G52" s="30">
        <v>1</v>
      </c>
      <c r="H52" s="41" t="s">
        <v>219</v>
      </c>
      <c r="I52" s="40"/>
      <c r="J52" s="43">
        <v>653</v>
      </c>
      <c r="K52" s="30">
        <v>70</v>
      </c>
      <c r="L52" s="39">
        <f>ExpenseLog[[#This Row],[Rate]]*ExpenseLog[[#This Row],[Qty]]</f>
        <v>70</v>
      </c>
    </row>
    <row r="53" spans="2:12" ht="19.5" customHeight="1" x14ac:dyDescent="0.25">
      <c r="B53" s="27">
        <v>45935</v>
      </c>
      <c r="C53" s="28">
        <v>520</v>
      </c>
      <c r="D53" s="29" t="str">
        <f>IFERROR(VLOOKUP(ExpenseLog[[#This Row],[Project No]],ProjectsList[],2,FALSE),"")</f>
        <v>TRK Engineering Services, Inc.</v>
      </c>
      <c r="E53" s="29" t="str">
        <f>IFERROR(VLOOKUP(ExpenseLog[[#This Row],[Project No]],ProjectsList[],3,FALSE),"")</f>
        <v>IP - Riverdale, AL BB2</v>
      </c>
      <c r="F53" s="21" t="s">
        <v>313</v>
      </c>
      <c r="G53" s="30">
        <v>309</v>
      </c>
      <c r="H53" s="41" t="s">
        <v>218</v>
      </c>
      <c r="I53" s="40"/>
      <c r="J53" s="43">
        <v>653</v>
      </c>
      <c r="K53" s="30">
        <v>0.7</v>
      </c>
      <c r="L53" s="39">
        <f>ExpenseLog[[#This Row],[Rate]]*ExpenseLog[[#This Row],[Qty]]</f>
        <v>216.29999999999998</v>
      </c>
    </row>
    <row r="54" spans="2:12" ht="19.5" customHeight="1" x14ac:dyDescent="0.25">
      <c r="B54" s="27">
        <v>45960</v>
      </c>
      <c r="C54" s="28">
        <v>516</v>
      </c>
      <c r="D54" s="29" t="str">
        <f>IFERROR(VLOOKUP(ExpenseLog[[#This Row],[Project No]],ProjectsList[],2,FALSE),"")</f>
        <v>TRK Engineering Services, Inc.</v>
      </c>
      <c r="E54" s="29" t="str">
        <f>IFERROR(VLOOKUP(ExpenseLog[[#This Row],[Project No]],ProjectsList[],3,FALSE),"")</f>
        <v>IP - Rome, GA RB5 &amp; WHB6</v>
      </c>
      <c r="F54" s="21" t="s">
        <v>314</v>
      </c>
      <c r="G54" s="30">
        <v>680</v>
      </c>
      <c r="H54" s="41" t="s">
        <v>218</v>
      </c>
      <c r="I54" s="40"/>
      <c r="J54" s="43">
        <v>654</v>
      </c>
      <c r="K54" s="30">
        <v>0.7</v>
      </c>
      <c r="L54" s="39">
        <f>ExpenseLog[[#This Row],[Rate]]*ExpenseLog[[#This Row],[Qty]]</f>
        <v>475.99999999999994</v>
      </c>
    </row>
    <row r="55" spans="2:12" ht="19.5" customHeight="1" x14ac:dyDescent="0.25">
      <c r="B55" s="27">
        <v>45960</v>
      </c>
      <c r="C55" s="28">
        <v>516</v>
      </c>
      <c r="D55" s="29" t="str">
        <f>IFERROR(VLOOKUP(ExpenseLog[[#This Row],[Project No]],ProjectsList[],2,FALSE),"")</f>
        <v>TRK Engineering Services, Inc.</v>
      </c>
      <c r="E55" s="29" t="str">
        <f>IFERROR(VLOOKUP(ExpenseLog[[#This Row],[Project No]],ProjectsList[],3,FALSE),"")</f>
        <v>IP - Rome, GA RB5 &amp; WHB6</v>
      </c>
      <c r="F55" s="21" t="s">
        <v>307</v>
      </c>
      <c r="G55" s="30">
        <v>1</v>
      </c>
      <c r="H55" s="41" t="s">
        <v>200</v>
      </c>
      <c r="I55" s="40"/>
      <c r="J55" s="43">
        <v>654</v>
      </c>
      <c r="K55" s="30">
        <v>1187.0999999999999</v>
      </c>
      <c r="L55" s="39">
        <f>ExpenseLog[[#This Row],[Rate]]*ExpenseLog[[#This Row],[Qty]]</f>
        <v>1187.0999999999999</v>
      </c>
    </row>
    <row r="56" spans="2:12" ht="19.5" customHeight="1" x14ac:dyDescent="0.25">
      <c r="B56" s="27">
        <v>45960</v>
      </c>
      <c r="C56" s="28">
        <v>516</v>
      </c>
      <c r="D56" s="29" t="str">
        <f>IFERROR(VLOOKUP(ExpenseLog[[#This Row],[Project No]],ProjectsList[],2,FALSE),"")</f>
        <v>TRK Engineering Services, Inc.</v>
      </c>
      <c r="E56" s="29" t="str">
        <f>IFERROR(VLOOKUP(ExpenseLog[[#This Row],[Project No]],ProjectsList[],3,FALSE),"")</f>
        <v>IP - Rome, GA RB5 &amp; WHB6</v>
      </c>
      <c r="F56" s="21" t="s">
        <v>308</v>
      </c>
      <c r="G56" s="30">
        <v>7</v>
      </c>
      <c r="H56" s="41" t="s">
        <v>219</v>
      </c>
      <c r="I56" s="40"/>
      <c r="J56" s="43">
        <v>654</v>
      </c>
      <c r="K56" s="30">
        <v>70</v>
      </c>
      <c r="L56" s="39">
        <f>ExpenseLog[[#This Row],[Rate]]*ExpenseLog[[#This Row],[Qty]]</f>
        <v>490</v>
      </c>
    </row>
    <row r="57" spans="2:12" ht="19.5" customHeight="1" x14ac:dyDescent="0.25">
      <c r="B57" s="27">
        <v>45960</v>
      </c>
      <c r="C57" s="28">
        <v>516</v>
      </c>
      <c r="D57" s="29" t="str">
        <f>IFERROR(VLOOKUP(ExpenseLog[[#This Row],[Project No]],ProjectsList[],2,FALSE),"")</f>
        <v>TRK Engineering Services, Inc.</v>
      </c>
      <c r="E57" s="29" t="str">
        <f>IFERROR(VLOOKUP(ExpenseLog[[#This Row],[Project No]],ProjectsList[],3,FALSE),"")</f>
        <v>IP - Rome, GA RB5 &amp; WHB6</v>
      </c>
      <c r="F57" s="21" t="s">
        <v>316</v>
      </c>
      <c r="G57" s="30">
        <v>1</v>
      </c>
      <c r="H57" s="41" t="s">
        <v>246</v>
      </c>
      <c r="I57" s="40"/>
      <c r="J57" s="43">
        <v>654</v>
      </c>
      <c r="K57" s="30">
        <v>220.15</v>
      </c>
      <c r="L57" s="39">
        <f>ExpenseLog[[#This Row],[Rate]]*ExpenseLog[[#This Row],[Qty]]</f>
        <v>220.15</v>
      </c>
    </row>
    <row r="58" spans="2:12" ht="19.5" customHeight="1" x14ac:dyDescent="0.25">
      <c r="B58" s="27">
        <v>45960</v>
      </c>
      <c r="C58" s="28">
        <v>516</v>
      </c>
      <c r="D58" s="29" t="str">
        <f>IFERROR(VLOOKUP(ExpenseLog[[#This Row],[Project No]],ProjectsList[],2,FALSE),"")</f>
        <v>TRK Engineering Services, Inc.</v>
      </c>
      <c r="E58" s="29" t="str">
        <f>IFERROR(VLOOKUP(ExpenseLog[[#This Row],[Project No]],ProjectsList[],3,FALSE),"")</f>
        <v>IP - Rome, GA RB5 &amp; WHB6</v>
      </c>
      <c r="F58" s="21" t="s">
        <v>315</v>
      </c>
      <c r="G58" s="30">
        <f>20*5</f>
        <v>100</v>
      </c>
      <c r="H58" s="41" t="s">
        <v>218</v>
      </c>
      <c r="I58" s="40"/>
      <c r="J58" s="43">
        <v>654</v>
      </c>
      <c r="K58" s="30">
        <v>0.7</v>
      </c>
      <c r="L58" s="39">
        <f>ExpenseLog[[#This Row],[Rate]]*ExpenseLog[[#This Row],[Qty]]</f>
        <v>70</v>
      </c>
    </row>
    <row r="59" spans="2:12" ht="19.5" customHeight="1" x14ac:dyDescent="0.25">
      <c r="B59" s="27">
        <v>45968</v>
      </c>
      <c r="C59" s="28">
        <v>521</v>
      </c>
      <c r="D59" s="29" t="str">
        <f>IFERROR(VLOOKUP(ExpenseLog[[#This Row],[Project No]],ProjectsList[],2,FALSE),"")</f>
        <v>TRK Engineering Services, Inc.</v>
      </c>
      <c r="E59" s="29" t="str">
        <f>IFERROR(VLOOKUP(ExpenseLog[[#This Row],[Project No]],ProjectsList[],3,FALSE),"")</f>
        <v>Ardagh Glass, Pevely</v>
      </c>
      <c r="F59" s="21" t="s">
        <v>195</v>
      </c>
      <c r="G59" s="30">
        <v>1</v>
      </c>
      <c r="H59" s="41" t="s">
        <v>196</v>
      </c>
      <c r="I59" s="40"/>
      <c r="J59" s="43">
        <v>658</v>
      </c>
      <c r="K59" s="30">
        <v>246.35</v>
      </c>
      <c r="L59" s="39">
        <f>ExpenseLog[[#This Row],[Rate]]*ExpenseLog[[#This Row],[Qty]]</f>
        <v>246.35</v>
      </c>
    </row>
    <row r="60" spans="2:12" ht="19.5" customHeight="1" x14ac:dyDescent="0.25">
      <c r="B60" s="27">
        <v>45968</v>
      </c>
      <c r="C60" s="28">
        <v>521</v>
      </c>
      <c r="D60" s="29" t="str">
        <f>IFERROR(VLOOKUP(ExpenseLog[[#This Row],[Project No]],ProjectsList[],2,FALSE),"")</f>
        <v>TRK Engineering Services, Inc.</v>
      </c>
      <c r="E60" s="29" t="str">
        <f>IFERROR(VLOOKUP(ExpenseLog[[#This Row],[Project No]],ProjectsList[],3,FALSE),"")</f>
        <v>Ardagh Glass, Pevely</v>
      </c>
      <c r="F60" s="21" t="s">
        <v>291</v>
      </c>
      <c r="G60" s="30">
        <v>1</v>
      </c>
      <c r="H60" s="41" t="s">
        <v>198</v>
      </c>
      <c r="I60" s="40"/>
      <c r="J60" s="43">
        <v>658</v>
      </c>
      <c r="K60" s="30">
        <v>15.3</v>
      </c>
      <c r="L60" s="39">
        <f>ExpenseLog[[#This Row],[Rate]]*ExpenseLog[[#This Row],[Qty]]</f>
        <v>15.3</v>
      </c>
    </row>
    <row r="61" spans="2:12" ht="19.5" customHeight="1" x14ac:dyDescent="0.25">
      <c r="B61" s="27">
        <v>45968</v>
      </c>
      <c r="C61" s="28">
        <v>521</v>
      </c>
      <c r="D61" s="29" t="str">
        <f>IFERROR(VLOOKUP(ExpenseLog[[#This Row],[Project No]],ProjectsList[],2,FALSE),"")</f>
        <v>TRK Engineering Services, Inc.</v>
      </c>
      <c r="E61" s="29" t="str">
        <f>IFERROR(VLOOKUP(ExpenseLog[[#This Row],[Project No]],ProjectsList[],3,FALSE),"")</f>
        <v>Ardagh Glass, Pevely</v>
      </c>
      <c r="F61" s="21" t="s">
        <v>194</v>
      </c>
      <c r="G61" s="30">
        <v>1</v>
      </c>
      <c r="H61" s="41" t="s">
        <v>194</v>
      </c>
      <c r="I61" s="40"/>
      <c r="J61" s="43">
        <v>658</v>
      </c>
      <c r="K61" s="30">
        <v>27.3</v>
      </c>
      <c r="L61" s="39">
        <f>ExpenseLog[[#This Row],[Rate]]*ExpenseLog[[#This Row],[Qty]]</f>
        <v>27.3</v>
      </c>
    </row>
    <row r="62" spans="2:12" ht="19.5" customHeight="1" x14ac:dyDescent="0.25">
      <c r="B62" s="27">
        <v>45968</v>
      </c>
      <c r="C62" s="28">
        <v>521</v>
      </c>
      <c r="D62" s="29" t="str">
        <f>IFERROR(VLOOKUP(ExpenseLog[[#This Row],[Project No]],ProjectsList[],2,FALSE),"")</f>
        <v>TRK Engineering Services, Inc.</v>
      </c>
      <c r="E62" s="29" t="str">
        <f>IFERROR(VLOOKUP(ExpenseLog[[#This Row],[Project No]],ProjectsList[],3,FALSE),"")</f>
        <v>Ardagh Glass, Pevely</v>
      </c>
      <c r="F62" s="21" t="s">
        <v>322</v>
      </c>
      <c r="G62" s="30">
        <v>1</v>
      </c>
      <c r="H62" s="41" t="s">
        <v>200</v>
      </c>
      <c r="I62" s="40"/>
      <c r="J62" s="43">
        <v>658</v>
      </c>
      <c r="K62" s="30">
        <v>196.72</v>
      </c>
      <c r="L62" s="39">
        <f>ExpenseLog[[#This Row],[Rate]]*ExpenseLog[[#This Row],[Qty]]</f>
        <v>196.72</v>
      </c>
    </row>
    <row r="63" spans="2:12" ht="19.5" customHeight="1" x14ac:dyDescent="0.25">
      <c r="B63" s="27">
        <v>45968</v>
      </c>
      <c r="C63" s="28">
        <v>521</v>
      </c>
      <c r="D63" s="29" t="str">
        <f>IFERROR(VLOOKUP(ExpenseLog[[#This Row],[Project No]],ProjectsList[],2,FALSE),"")</f>
        <v>TRK Engineering Services, Inc.</v>
      </c>
      <c r="E63" s="29" t="str">
        <f>IFERROR(VLOOKUP(ExpenseLog[[#This Row],[Project No]],ProjectsList[],3,FALSE),"")</f>
        <v>Ardagh Glass, Pevely</v>
      </c>
      <c r="F63" s="21" t="s">
        <v>259</v>
      </c>
      <c r="G63" s="30">
        <v>1</v>
      </c>
      <c r="H63" s="41" t="s">
        <v>191</v>
      </c>
      <c r="I63" s="40"/>
      <c r="J63" s="43">
        <v>658</v>
      </c>
      <c r="K63" s="30">
        <v>907.87</v>
      </c>
      <c r="L63" s="39">
        <f>ExpenseLog[[#This Row],[Rate]]*ExpenseLog[[#This Row],[Qty]]</f>
        <v>907.87</v>
      </c>
    </row>
    <row r="64" spans="2:12" ht="19.5" customHeight="1" x14ac:dyDescent="0.25">
      <c r="B64" s="27">
        <v>45960</v>
      </c>
      <c r="C64" s="28">
        <v>521</v>
      </c>
      <c r="D64" s="29" t="str">
        <f>IFERROR(VLOOKUP(ExpenseLog[[#This Row],[Project No]],ProjectsList[],2,FALSE),"")</f>
        <v>TRK Engineering Services, Inc.</v>
      </c>
      <c r="E64" s="29" t="str">
        <f>IFERROR(VLOOKUP(ExpenseLog[[#This Row],[Project No]],ProjectsList[],3,FALSE),"")</f>
        <v>Ardagh Glass, Pevely</v>
      </c>
      <c r="F64" s="21" t="s">
        <v>195</v>
      </c>
      <c r="G64" s="30">
        <v>1</v>
      </c>
      <c r="H64" s="41" t="s">
        <v>196</v>
      </c>
      <c r="I64" s="40"/>
      <c r="J64" s="43">
        <v>658</v>
      </c>
      <c r="K64" s="30">
        <v>250</v>
      </c>
      <c r="L64" s="39">
        <f>ExpenseLog[[#This Row],[Rate]]*ExpenseLog[[#This Row],[Qty]]</f>
        <v>250</v>
      </c>
    </row>
    <row r="65" spans="2:12" ht="19.5" customHeight="1" x14ac:dyDescent="0.25">
      <c r="B65" s="27">
        <v>45960</v>
      </c>
      <c r="C65" s="28">
        <v>521</v>
      </c>
      <c r="D65" s="29" t="str">
        <f>IFERROR(VLOOKUP(ExpenseLog[[#This Row],[Project No]],ProjectsList[],2,FALSE),"")</f>
        <v>TRK Engineering Services, Inc.</v>
      </c>
      <c r="E65" s="29" t="str">
        <f>IFERROR(VLOOKUP(ExpenseLog[[#This Row],[Project No]],ProjectsList[],3,FALSE),"")</f>
        <v>Ardagh Glass, Pevely</v>
      </c>
      <c r="F65" s="21" t="s">
        <v>322</v>
      </c>
      <c r="G65" s="30">
        <v>1</v>
      </c>
      <c r="H65" s="41" t="s">
        <v>200</v>
      </c>
      <c r="I65" s="40"/>
      <c r="J65" s="43">
        <v>658</v>
      </c>
      <c r="K65" s="30">
        <v>272.62</v>
      </c>
      <c r="L65" s="39">
        <f>ExpenseLog[[#This Row],[Rate]]*ExpenseLog[[#This Row],[Qty]]</f>
        <v>272.62</v>
      </c>
    </row>
    <row r="66" spans="2:12" ht="19.5" customHeight="1" x14ac:dyDescent="0.25">
      <c r="B66" s="27">
        <v>45960</v>
      </c>
      <c r="C66" s="28">
        <v>521</v>
      </c>
      <c r="D66" s="29" t="str">
        <f>IFERROR(VLOOKUP(ExpenseLog[[#This Row],[Project No]],ProjectsList[],2,FALSE),"")</f>
        <v>TRK Engineering Services, Inc.</v>
      </c>
      <c r="E66" s="29" t="str">
        <f>IFERROR(VLOOKUP(ExpenseLog[[#This Row],[Project No]],ProjectsList[],3,FALSE),"")</f>
        <v>Ardagh Glass, Pevely</v>
      </c>
      <c r="F66" s="21" t="s">
        <v>322</v>
      </c>
      <c r="G66" s="30">
        <v>-1</v>
      </c>
      <c r="H66" s="41" t="s">
        <v>200</v>
      </c>
      <c r="I66" s="40"/>
      <c r="J66" s="43">
        <v>658</v>
      </c>
      <c r="K66" s="30">
        <v>88.24</v>
      </c>
      <c r="L66" s="39">
        <f>ExpenseLog[[#This Row],[Rate]]*ExpenseLog[[#This Row],[Qty]]</f>
        <v>-88.24</v>
      </c>
    </row>
    <row r="67" spans="2:12" ht="19.5" customHeight="1" x14ac:dyDescent="0.25">
      <c r="B67" s="27">
        <v>45960</v>
      </c>
      <c r="C67" s="28">
        <v>521</v>
      </c>
      <c r="D67" s="29" t="str">
        <f>IFERROR(VLOOKUP(ExpenseLog[[#This Row],[Project No]],ProjectsList[],2,FALSE),"")</f>
        <v>TRK Engineering Services, Inc.</v>
      </c>
      <c r="E67" s="29" t="str">
        <f>IFERROR(VLOOKUP(ExpenseLog[[#This Row],[Project No]],ProjectsList[],3,FALSE),"")</f>
        <v>Ardagh Glass, Pevely</v>
      </c>
      <c r="F67" s="21" t="s">
        <v>323</v>
      </c>
      <c r="G67" s="30">
        <v>1</v>
      </c>
      <c r="H67" s="41" t="s">
        <v>194</v>
      </c>
      <c r="I67" s="40"/>
      <c r="J67" s="43">
        <v>658</v>
      </c>
      <c r="K67" s="30">
        <v>27</v>
      </c>
      <c r="L67" s="39">
        <f>ExpenseLog[[#This Row],[Rate]]*ExpenseLog[[#This Row],[Qty]]</f>
        <v>27</v>
      </c>
    </row>
    <row r="68" spans="2:12" ht="19.5" customHeight="1" x14ac:dyDescent="0.25">
      <c r="B68" s="27">
        <v>45960</v>
      </c>
      <c r="C68" s="28">
        <v>521</v>
      </c>
      <c r="D68" s="29" t="str">
        <f>IFERROR(VLOOKUP(ExpenseLog[[#This Row],[Project No]],ProjectsList[],2,FALSE),"")</f>
        <v>TRK Engineering Services, Inc.</v>
      </c>
      <c r="E68" s="29" t="str">
        <f>IFERROR(VLOOKUP(ExpenseLog[[#This Row],[Project No]],ProjectsList[],3,FALSE),"")</f>
        <v>Ardagh Glass, Pevely</v>
      </c>
      <c r="F68" s="21" t="s">
        <v>291</v>
      </c>
      <c r="G68" s="30">
        <v>1</v>
      </c>
      <c r="H68" s="41" t="s">
        <v>198</v>
      </c>
      <c r="I68" s="40"/>
      <c r="J68" s="43">
        <v>658</v>
      </c>
      <c r="K68" s="30">
        <v>8.23</v>
      </c>
      <c r="L68" s="39">
        <f>ExpenseLog[[#This Row],[Rate]]*ExpenseLog[[#This Row],[Qty]]</f>
        <v>8.23</v>
      </c>
    </row>
    <row r="69" spans="2:12" ht="19.5" customHeight="1" x14ac:dyDescent="0.25">
      <c r="B69" s="27">
        <v>45960</v>
      </c>
      <c r="C69" s="28">
        <v>521</v>
      </c>
      <c r="D69" s="29" t="str">
        <f>IFERROR(VLOOKUP(ExpenseLog[[#This Row],[Project No]],ProjectsList[],2,FALSE),"")</f>
        <v>TRK Engineering Services, Inc.</v>
      </c>
      <c r="E69" s="29" t="str">
        <f>IFERROR(VLOOKUP(ExpenseLog[[#This Row],[Project No]],ProjectsList[],3,FALSE),"")</f>
        <v>Ardagh Glass, Pevely</v>
      </c>
      <c r="F69" s="21" t="s">
        <v>192</v>
      </c>
      <c r="G69" s="30">
        <v>1</v>
      </c>
      <c r="H69" s="41" t="s">
        <v>191</v>
      </c>
      <c r="I69" s="40"/>
      <c r="J69" s="43">
        <v>658</v>
      </c>
      <c r="K69" s="30">
        <v>704.97</v>
      </c>
      <c r="L69" s="39">
        <f>ExpenseLog[[#This Row],[Rate]]*ExpenseLog[[#This Row],[Qty]]</f>
        <v>704.97</v>
      </c>
    </row>
    <row r="70" spans="2:12" ht="19.5" customHeight="1" x14ac:dyDescent="0.25">
      <c r="B70" s="27">
        <v>45960</v>
      </c>
      <c r="C70" s="28">
        <v>521</v>
      </c>
      <c r="D70" s="29" t="str">
        <f>IFERROR(VLOOKUP(ExpenseLog[[#This Row],[Project No]],ProjectsList[],2,FALSE),"")</f>
        <v>TRK Engineering Services, Inc.</v>
      </c>
      <c r="E70" s="29" t="str">
        <f>IFERROR(VLOOKUP(ExpenseLog[[#This Row],[Project No]],ProjectsList[],3,FALSE),"")</f>
        <v>Ardagh Glass, Pevely</v>
      </c>
      <c r="F70" s="21" t="s">
        <v>192</v>
      </c>
      <c r="G70" s="30">
        <v>1</v>
      </c>
      <c r="H70" s="41" t="s">
        <v>191</v>
      </c>
      <c r="I70" s="40"/>
      <c r="J70" s="43">
        <v>658</v>
      </c>
      <c r="K70" s="30">
        <v>10</v>
      </c>
      <c r="L70" s="39">
        <f>ExpenseLog[[#This Row],[Rate]]*ExpenseLog[[#This Row],[Qty]]</f>
        <v>10</v>
      </c>
    </row>
    <row r="71" spans="2:12" ht="19.5" customHeight="1" x14ac:dyDescent="0.25">
      <c r="B71" s="27">
        <v>45968</v>
      </c>
      <c r="C71" s="28">
        <v>521</v>
      </c>
      <c r="D71" s="29" t="str">
        <f>IFERROR(VLOOKUP(ExpenseLog[[#This Row],[Project No]],ProjectsList[],2,FALSE),"")</f>
        <v>TRK Engineering Services, Inc.</v>
      </c>
      <c r="E71" s="29" t="str">
        <f>IFERROR(VLOOKUP(ExpenseLog[[#This Row],[Project No]],ProjectsList[],3,FALSE),"")</f>
        <v>Ardagh Glass, Pevely</v>
      </c>
      <c r="F71" s="21" t="s">
        <v>324</v>
      </c>
      <c r="G71" s="30">
        <v>3</v>
      </c>
      <c r="H71" s="41" t="s">
        <v>219</v>
      </c>
      <c r="I71" s="40"/>
      <c r="J71" s="43">
        <v>658</v>
      </c>
      <c r="K71" s="30">
        <v>70</v>
      </c>
      <c r="L71" s="39">
        <f>ExpenseLog[[#This Row],[Rate]]*ExpenseLog[[#This Row],[Qty]]</f>
        <v>210</v>
      </c>
    </row>
    <row r="72" spans="2:12" ht="19.5" customHeight="1" x14ac:dyDescent="0.25">
      <c r="B72" s="27">
        <v>45960</v>
      </c>
      <c r="C72" s="28">
        <v>521</v>
      </c>
      <c r="D72" s="29" t="str">
        <f>IFERROR(VLOOKUP(ExpenseLog[[#This Row],[Project No]],ProjectsList[],2,FALSE),"")</f>
        <v>TRK Engineering Services, Inc.</v>
      </c>
      <c r="E72" s="29" t="str">
        <f>IFERROR(VLOOKUP(ExpenseLog[[#This Row],[Project No]],ProjectsList[],3,FALSE),"")</f>
        <v>Ardagh Glass, Pevely</v>
      </c>
      <c r="F72" s="21" t="s">
        <v>325</v>
      </c>
      <c r="G72" s="30">
        <v>3</v>
      </c>
      <c r="H72" s="41" t="s">
        <v>219</v>
      </c>
      <c r="I72" s="40"/>
      <c r="J72" s="43">
        <v>658</v>
      </c>
      <c r="K72" s="30">
        <v>70</v>
      </c>
      <c r="L72" s="39">
        <f>ExpenseLog[[#This Row],[Rate]]*ExpenseLog[[#This Row],[Qty]]</f>
        <v>210</v>
      </c>
    </row>
    <row r="73" spans="2:12" ht="19.5" customHeight="1" x14ac:dyDescent="0.25">
      <c r="B73" s="27">
        <v>45968</v>
      </c>
      <c r="C73" s="28">
        <v>521</v>
      </c>
      <c r="D73" s="29" t="str">
        <f>IFERROR(VLOOKUP(ExpenseLog[[#This Row],[Project No]],ProjectsList[],2,FALSE),"")</f>
        <v>TRK Engineering Services, Inc.</v>
      </c>
      <c r="E73" s="29" t="str">
        <f>IFERROR(VLOOKUP(ExpenseLog[[#This Row],[Project No]],ProjectsList[],3,FALSE),"")</f>
        <v>Ardagh Glass, Pevely</v>
      </c>
      <c r="F73" s="21" t="s">
        <v>326</v>
      </c>
      <c r="G73" s="30">
        <v>51.3</v>
      </c>
      <c r="H73" s="41" t="s">
        <v>218</v>
      </c>
      <c r="I73" s="40"/>
      <c r="J73" s="43">
        <v>658</v>
      </c>
      <c r="K73" s="30">
        <v>0.7</v>
      </c>
      <c r="L73" s="39">
        <f>ExpenseLog[[#This Row],[Rate]]*ExpenseLog[[#This Row],[Qty]]</f>
        <v>35.909999999999997</v>
      </c>
    </row>
    <row r="74" spans="2:12" ht="19.5" customHeight="1" x14ac:dyDescent="0.25">
      <c r="B74" s="27">
        <v>45968</v>
      </c>
      <c r="C74" s="28">
        <v>521</v>
      </c>
      <c r="D74" s="29" t="str">
        <f>IFERROR(VLOOKUP(ExpenseLog[[#This Row],[Project No]],ProjectsList[],2,FALSE),"")</f>
        <v>TRK Engineering Services, Inc.</v>
      </c>
      <c r="E74" s="29" t="str">
        <f>IFERROR(VLOOKUP(ExpenseLog[[#This Row],[Project No]],ProjectsList[],3,FALSE),"")</f>
        <v>Ardagh Glass, Pevely</v>
      </c>
      <c r="F74" s="21" t="s">
        <v>327</v>
      </c>
      <c r="G74" s="30">
        <v>51.3</v>
      </c>
      <c r="H74" s="41" t="s">
        <v>218</v>
      </c>
      <c r="I74" s="40"/>
      <c r="J74" s="43">
        <v>658</v>
      </c>
      <c r="K74" s="30">
        <v>0.7</v>
      </c>
      <c r="L74" s="39">
        <f>ExpenseLog[[#This Row],[Rate]]*ExpenseLog[[#This Row],[Qty]]</f>
        <v>35.909999999999997</v>
      </c>
    </row>
    <row r="75" spans="2:12" ht="19.5" customHeight="1" x14ac:dyDescent="0.25">
      <c r="B75" s="27">
        <v>45960</v>
      </c>
      <c r="C75" s="28">
        <v>521</v>
      </c>
      <c r="D75" s="29" t="str">
        <f>IFERROR(VLOOKUP(ExpenseLog[[#This Row],[Project No]],ProjectsList[],2,FALSE),"")</f>
        <v>TRK Engineering Services, Inc.</v>
      </c>
      <c r="E75" s="29" t="str">
        <f>IFERROR(VLOOKUP(ExpenseLog[[#This Row],[Project No]],ProjectsList[],3,FALSE),"")</f>
        <v>Ardagh Glass, Pevely</v>
      </c>
      <c r="F75" s="21" t="s">
        <v>328</v>
      </c>
      <c r="G75" s="30">
        <v>21</v>
      </c>
      <c r="H75" s="41" t="s">
        <v>218</v>
      </c>
      <c r="I75" s="40"/>
      <c r="J75" s="43">
        <v>658</v>
      </c>
      <c r="K75" s="30">
        <v>0.7</v>
      </c>
      <c r="L75" s="39">
        <f>ExpenseLog[[#This Row],[Rate]]*ExpenseLog[[#This Row],[Qty]]</f>
        <v>14.7</v>
      </c>
    </row>
    <row r="76" spans="2:12" ht="19.5" customHeight="1" x14ac:dyDescent="0.25">
      <c r="B76" s="27">
        <v>45960</v>
      </c>
      <c r="C76" s="28">
        <v>521</v>
      </c>
      <c r="D76" s="29" t="str">
        <f>IFERROR(VLOOKUP(ExpenseLog[[#This Row],[Project No]],ProjectsList[],2,FALSE),"")</f>
        <v>TRK Engineering Services, Inc.</v>
      </c>
      <c r="E76" s="29" t="str">
        <f>IFERROR(VLOOKUP(ExpenseLog[[#This Row],[Project No]],ProjectsList[],3,FALSE),"")</f>
        <v>Ardagh Glass, Pevely</v>
      </c>
      <c r="F76" s="21" t="s">
        <v>220</v>
      </c>
      <c r="G76" s="30">
        <v>21</v>
      </c>
      <c r="H76" s="41" t="s">
        <v>218</v>
      </c>
      <c r="I76" s="40"/>
      <c r="J76" s="43">
        <v>658</v>
      </c>
      <c r="K76" s="30">
        <v>0.7</v>
      </c>
      <c r="L76" s="39">
        <f>ExpenseLog[[#This Row],[Rate]]*ExpenseLog[[#This Row],[Qty]]</f>
        <v>14.7</v>
      </c>
    </row>
    <row r="77" spans="2:12" ht="19.5" customHeight="1" x14ac:dyDescent="0.25">
      <c r="B77" s="27">
        <v>46006</v>
      </c>
      <c r="C77" s="28">
        <v>507</v>
      </c>
      <c r="D77" s="29" t="str">
        <f>IFERROR(VLOOKUP(ExpenseLog[[#This Row],[Project No]],ProjectsList[],2,FALSE),"")</f>
        <v>TRK Engineering Services, Inc.</v>
      </c>
      <c r="E77" s="29" t="str">
        <f>IFERROR(VLOOKUP(ExpenseLog[[#This Row],[Project No]],ProjectsList[],3,FALSE),"")</f>
        <v>Suncor Extra Engineering</v>
      </c>
      <c r="F77" s="21" t="s">
        <v>341</v>
      </c>
      <c r="G77" s="30">
        <v>344</v>
      </c>
      <c r="H77" s="41" t="s">
        <v>218</v>
      </c>
      <c r="I77" s="40"/>
      <c r="J77" s="43">
        <v>662</v>
      </c>
      <c r="K77" s="30">
        <v>0.7</v>
      </c>
      <c r="L77" s="39">
        <f>ExpenseLog[[#This Row],[Rate]]*ExpenseLog[[#This Row],[Qty]]</f>
        <v>240.79999999999998</v>
      </c>
    </row>
    <row r="78" spans="2:12" ht="19.5" customHeight="1" x14ac:dyDescent="0.25">
      <c r="B78" s="27">
        <v>46006</v>
      </c>
      <c r="C78" s="28">
        <v>507</v>
      </c>
      <c r="D78" s="29" t="str">
        <f>IFERROR(VLOOKUP(ExpenseLog[[#This Row],[Project No]],ProjectsList[],2,FALSE),"")</f>
        <v>TRK Engineering Services, Inc.</v>
      </c>
      <c r="E78" s="29" t="str">
        <f>IFERROR(VLOOKUP(ExpenseLog[[#This Row],[Project No]],ProjectsList[],3,FALSE),"")</f>
        <v>Suncor Extra Engineering</v>
      </c>
      <c r="F78" s="21" t="s">
        <v>342</v>
      </c>
      <c r="G78" s="30">
        <v>1</v>
      </c>
      <c r="H78" s="41" t="s">
        <v>200</v>
      </c>
      <c r="I78" s="40"/>
      <c r="J78" s="43">
        <v>662</v>
      </c>
      <c r="K78" s="30">
        <v>158.68</v>
      </c>
      <c r="L78" s="39">
        <f>ExpenseLog[[#This Row],[Rate]]*ExpenseLog[[#This Row],[Qty]]</f>
        <v>158.68</v>
      </c>
    </row>
    <row r="79" spans="2:12" ht="19.5" customHeight="1" x14ac:dyDescent="0.25">
      <c r="B79" s="27">
        <v>46006</v>
      </c>
      <c r="C79" s="28">
        <v>507</v>
      </c>
      <c r="D79" s="29" t="str">
        <f>IFERROR(VLOOKUP(ExpenseLog[[#This Row],[Project No]],ProjectsList[],2,FALSE),"")</f>
        <v>TRK Engineering Services, Inc.</v>
      </c>
      <c r="E79" s="29" t="str">
        <f>IFERROR(VLOOKUP(ExpenseLog[[#This Row],[Project No]],ProjectsList[],3,FALSE),"")</f>
        <v>Suncor Extra Engineering</v>
      </c>
      <c r="F79" s="21" t="s">
        <v>324</v>
      </c>
      <c r="G79" s="30">
        <v>2</v>
      </c>
      <c r="H79" s="41" t="s">
        <v>219</v>
      </c>
      <c r="I79" s="40"/>
      <c r="J79" s="43">
        <v>662</v>
      </c>
      <c r="K79" s="30">
        <v>70</v>
      </c>
      <c r="L79" s="39">
        <f>ExpenseLog[[#This Row],[Rate]]*ExpenseLog[[#This Row],[Qty]]</f>
        <v>140</v>
      </c>
    </row>
    <row r="80" spans="2:12" ht="19.5" customHeight="1" x14ac:dyDescent="0.25">
      <c r="B80" s="27">
        <v>46007</v>
      </c>
      <c r="C80" s="28">
        <v>507</v>
      </c>
      <c r="D80" s="29" t="str">
        <f>IFERROR(VLOOKUP(ExpenseLog[[#This Row],[Project No]],ProjectsList[],2,FALSE),"")</f>
        <v>TRK Engineering Services, Inc.</v>
      </c>
      <c r="E80" s="29" t="str">
        <f>IFERROR(VLOOKUP(ExpenseLog[[#This Row],[Project No]],ProjectsList[],3,FALSE),"")</f>
        <v>Suncor Extra Engineering</v>
      </c>
      <c r="F80" s="21" t="s">
        <v>343</v>
      </c>
      <c r="G80" s="30">
        <v>333</v>
      </c>
      <c r="H80" s="41" t="s">
        <v>218</v>
      </c>
      <c r="I80" s="40"/>
      <c r="J80" s="43">
        <v>662</v>
      </c>
      <c r="K80" s="30">
        <v>0.7</v>
      </c>
      <c r="L80" s="39">
        <f>ExpenseLog[[#This Row],[Rate]]*ExpenseLog[[#This Row],[Qty]]</f>
        <v>233.1</v>
      </c>
    </row>
    <row r="81" spans="2:12" ht="19.5" customHeight="1" x14ac:dyDescent="0.25">
      <c r="B81" s="27"/>
      <c r="C81" s="28"/>
      <c r="D81" s="29" t="str">
        <f>IFERROR(VLOOKUP(ExpenseLog[[#This Row],[Project No]],ProjectsList[],2,FALSE),"")</f>
        <v/>
      </c>
      <c r="E81" s="29" t="str">
        <f>IFERROR(VLOOKUP(ExpenseLog[[#This Row],[Project No]],ProjectsList[],3,FALSE),"")</f>
        <v/>
      </c>
      <c r="F81" s="21"/>
      <c r="G81" s="30"/>
      <c r="H81" s="41"/>
      <c r="I81" s="40"/>
      <c r="J81" s="43"/>
      <c r="K81" s="30"/>
      <c r="L81" s="39">
        <f>ExpenseLog[[#This Row],[Rate]]*ExpenseLog[[#This Row],[Qty]]</f>
        <v>0</v>
      </c>
    </row>
    <row r="82" spans="2:12" ht="19.5" customHeight="1" x14ac:dyDescent="0.25">
      <c r="B82" s="27"/>
      <c r="C82" s="28"/>
      <c r="D82" s="29" t="str">
        <f>IFERROR(VLOOKUP(ExpenseLog[[#This Row],[Project No]],ProjectsList[],2,FALSE),"")</f>
        <v/>
      </c>
      <c r="E82" s="29" t="str">
        <f>IFERROR(VLOOKUP(ExpenseLog[[#This Row],[Project No]],ProjectsList[],3,FALSE),"")</f>
        <v/>
      </c>
      <c r="F82" s="21"/>
      <c r="G82" s="30"/>
      <c r="H82" s="41"/>
      <c r="I82" s="40"/>
      <c r="J82" s="43"/>
      <c r="K82" s="30"/>
      <c r="L82" s="39">
        <f>ExpenseLog[[#This Row],[Rate]]*ExpenseLog[[#This Row],[Qty]]</f>
        <v>0</v>
      </c>
    </row>
    <row r="83" spans="2:12" ht="19.5" customHeight="1" x14ac:dyDescent="0.25">
      <c r="B83" s="27"/>
      <c r="C83" s="28"/>
      <c r="D83" s="29" t="str">
        <f>IFERROR(VLOOKUP(ExpenseLog[[#This Row],[Project No]],ProjectsList[],2,FALSE),"")</f>
        <v/>
      </c>
      <c r="E83" s="29" t="str">
        <f>IFERROR(VLOOKUP(ExpenseLog[[#This Row],[Project No]],ProjectsList[],3,FALSE),"")</f>
        <v/>
      </c>
      <c r="F83" s="21"/>
      <c r="G83" s="30"/>
      <c r="H83" s="41"/>
      <c r="I83" s="40"/>
      <c r="J83" s="43"/>
      <c r="K83" s="30"/>
      <c r="L83" s="39">
        <f>ExpenseLog[[#This Row],[Rate]]*ExpenseLog[[#This Row],[Qty]]</f>
        <v>0</v>
      </c>
    </row>
    <row r="84" spans="2:12" ht="19.5" customHeight="1" x14ac:dyDescent="0.25">
      <c r="B84" s="27"/>
      <c r="C84" s="28"/>
      <c r="D84" s="29" t="str">
        <f>IFERROR(VLOOKUP(ExpenseLog[[#This Row],[Project No]],ProjectsList[],2,FALSE),"")</f>
        <v/>
      </c>
      <c r="E84" s="29" t="str">
        <f>IFERROR(VLOOKUP(ExpenseLog[[#This Row],[Project No]],ProjectsList[],3,FALSE),"")</f>
        <v/>
      </c>
      <c r="F84" s="21"/>
      <c r="G84" s="30"/>
      <c r="H84" s="41"/>
      <c r="I84" s="40"/>
      <c r="J84" s="43"/>
      <c r="K84" s="30"/>
      <c r="L84" s="39">
        <f>ExpenseLog[[#This Row],[Rate]]*ExpenseLog[[#This Row],[Qty]]</f>
        <v>0</v>
      </c>
    </row>
    <row r="85" spans="2:12" ht="19.5" customHeight="1" x14ac:dyDescent="0.25">
      <c r="B85" s="27"/>
      <c r="C85" s="28"/>
      <c r="D85" s="29" t="str">
        <f>IFERROR(VLOOKUP(ExpenseLog[[#This Row],[Project No]],ProjectsList[],2,FALSE),"")</f>
        <v/>
      </c>
      <c r="E85" s="29" t="str">
        <f>IFERROR(VLOOKUP(ExpenseLog[[#This Row],[Project No]],ProjectsList[],3,FALSE),"")</f>
        <v/>
      </c>
      <c r="F85" s="21"/>
      <c r="G85" s="30"/>
      <c r="H85" s="41"/>
      <c r="I85" s="40"/>
      <c r="J85" s="43"/>
      <c r="K85" s="30"/>
      <c r="L85" s="39">
        <f>ExpenseLog[[#This Row],[Rate]]*ExpenseLog[[#This Row],[Qty]]</f>
        <v>0</v>
      </c>
    </row>
    <row r="86" spans="2:12" ht="19.5" customHeight="1" x14ac:dyDescent="0.25">
      <c r="B86" s="27"/>
      <c r="C86" s="28"/>
      <c r="D86" s="29" t="str">
        <f>IFERROR(VLOOKUP(ExpenseLog[[#This Row],[Project No]],ProjectsList[],2,FALSE),"")</f>
        <v/>
      </c>
      <c r="E86" s="29" t="str">
        <f>IFERROR(VLOOKUP(ExpenseLog[[#This Row],[Project No]],ProjectsList[],3,FALSE),"")</f>
        <v/>
      </c>
      <c r="F86" s="21"/>
      <c r="G86" s="30"/>
      <c r="H86" s="41"/>
      <c r="I86" s="40"/>
      <c r="J86" s="43"/>
      <c r="K86" s="30"/>
      <c r="L86" s="39">
        <f>ExpenseLog[[#This Row],[Rate]]*ExpenseLog[[#This Row],[Qty]]</f>
        <v>0</v>
      </c>
    </row>
    <row r="87" spans="2:12" ht="19.5" customHeight="1" x14ac:dyDescent="0.25">
      <c r="B87" s="27"/>
      <c r="C87" s="28"/>
      <c r="D87" s="29" t="str">
        <f>IFERROR(VLOOKUP(ExpenseLog[[#This Row],[Project No]],ProjectsList[],2,FALSE),"")</f>
        <v/>
      </c>
      <c r="E87" s="29" t="str">
        <f>IFERROR(VLOOKUP(ExpenseLog[[#This Row],[Project No]],ProjectsList[],3,FALSE),"")</f>
        <v/>
      </c>
      <c r="F87" s="21"/>
      <c r="G87" s="30"/>
      <c r="H87" s="41"/>
      <c r="I87" s="40"/>
      <c r="J87" s="43"/>
      <c r="K87" s="30"/>
      <c r="L87" s="39">
        <f>ExpenseLog[[#This Row],[Rate]]*ExpenseLog[[#This Row],[Qty]]</f>
        <v>0</v>
      </c>
    </row>
    <row r="88" spans="2:12" ht="19.5" customHeight="1" x14ac:dyDescent="0.25">
      <c r="B88" s="27"/>
      <c r="C88" s="28"/>
      <c r="D88" s="29" t="str">
        <f>IFERROR(VLOOKUP(ExpenseLog[[#This Row],[Project No]],ProjectsList[],2,FALSE),"")</f>
        <v/>
      </c>
      <c r="E88" s="29" t="str">
        <f>IFERROR(VLOOKUP(ExpenseLog[[#This Row],[Project No]],ProjectsList[],3,FALSE),"")</f>
        <v/>
      </c>
      <c r="F88" s="21"/>
      <c r="G88" s="30"/>
      <c r="H88" s="41"/>
      <c r="I88" s="40"/>
      <c r="J88" s="43"/>
      <c r="K88" s="30"/>
      <c r="L88" s="39">
        <f>ExpenseLog[[#This Row],[Rate]]*ExpenseLog[[#This Row],[Qty]]</f>
        <v>0</v>
      </c>
    </row>
    <row r="89" spans="2:12" ht="19.5" customHeight="1" x14ac:dyDescent="0.25">
      <c r="B89" s="27"/>
      <c r="C89" s="28"/>
      <c r="D89" s="29" t="str">
        <f>IFERROR(VLOOKUP(ExpenseLog[[#This Row],[Project No]],ProjectsList[],2,FALSE),"")</f>
        <v/>
      </c>
      <c r="E89" s="29" t="str">
        <f>IFERROR(VLOOKUP(ExpenseLog[[#This Row],[Project No]],ProjectsList[],3,FALSE),"")</f>
        <v/>
      </c>
      <c r="F89" s="21"/>
      <c r="G89" s="30"/>
      <c r="H89" s="41"/>
      <c r="I89" s="40"/>
      <c r="J89" s="43"/>
      <c r="K89" s="30"/>
      <c r="L89" s="39">
        <f>ExpenseLog[[#This Row],[Rate]]*ExpenseLog[[#This Row],[Qty]]</f>
        <v>0</v>
      </c>
    </row>
    <row r="90" spans="2:12" ht="19.5" customHeight="1" x14ac:dyDescent="0.25">
      <c r="B90" s="27"/>
      <c r="C90" s="28"/>
      <c r="D90" s="29" t="str">
        <f>IFERROR(VLOOKUP(ExpenseLog[[#This Row],[Project No]],ProjectsList[],2,FALSE),"")</f>
        <v/>
      </c>
      <c r="E90" s="29" t="str">
        <f>IFERROR(VLOOKUP(ExpenseLog[[#This Row],[Project No]],ProjectsList[],3,FALSE),"")</f>
        <v/>
      </c>
      <c r="F90" s="21"/>
      <c r="G90" s="30"/>
      <c r="H90" s="41"/>
      <c r="I90" s="40"/>
      <c r="J90" s="43"/>
      <c r="K90" s="30"/>
      <c r="L90" s="39">
        <f>ExpenseLog[[#This Row],[Rate]]*ExpenseLog[[#This Row],[Qty]]</f>
        <v>0</v>
      </c>
    </row>
    <row r="91" spans="2:12" ht="19.5" customHeight="1" x14ac:dyDescent="0.25">
      <c r="B91" s="27"/>
      <c r="C91" s="28"/>
      <c r="D91" s="29" t="str">
        <f>IFERROR(VLOOKUP(ExpenseLog[[#This Row],[Project No]],ProjectsList[],2,FALSE),"")</f>
        <v/>
      </c>
      <c r="E91" s="29" t="str">
        <f>IFERROR(VLOOKUP(ExpenseLog[[#This Row],[Project No]],ProjectsList[],3,FALSE),"")</f>
        <v/>
      </c>
      <c r="F91" s="21"/>
      <c r="G91" s="30"/>
      <c r="H91" s="41"/>
      <c r="I91" s="40"/>
      <c r="J91" s="43"/>
      <c r="K91" s="30"/>
      <c r="L91" s="39">
        <f>ExpenseLog[[#This Row],[Rate]]*ExpenseLog[[#This Row],[Qty]]</f>
        <v>0</v>
      </c>
    </row>
    <row r="92" spans="2:12" ht="19.5" customHeight="1" x14ac:dyDescent="0.25">
      <c r="B92" s="27"/>
      <c r="C92" s="28"/>
      <c r="D92" s="29" t="str">
        <f>IFERROR(VLOOKUP(ExpenseLog[[#This Row],[Project No]],ProjectsList[],2,FALSE),"")</f>
        <v/>
      </c>
      <c r="E92" s="29" t="str">
        <f>IFERROR(VLOOKUP(ExpenseLog[[#This Row],[Project No]],ProjectsList[],3,FALSE),"")</f>
        <v/>
      </c>
      <c r="F92" s="21"/>
      <c r="G92" s="30"/>
      <c r="H92" s="41"/>
      <c r="I92" s="40"/>
      <c r="J92" s="43"/>
      <c r="K92" s="30"/>
      <c r="L92" s="39">
        <f>ExpenseLog[[#This Row],[Rate]]*ExpenseLog[[#This Row],[Qty]]</f>
        <v>0</v>
      </c>
    </row>
    <row r="93" spans="2:12" ht="19.5" customHeight="1" x14ac:dyDescent="0.25">
      <c r="B93" s="27"/>
      <c r="C93" s="28"/>
      <c r="D93" s="29" t="str">
        <f>IFERROR(VLOOKUP(ExpenseLog[[#This Row],[Project No]],ProjectsList[],2,FALSE),"")</f>
        <v/>
      </c>
      <c r="E93" s="29" t="str">
        <f>IFERROR(VLOOKUP(ExpenseLog[[#This Row],[Project No]],ProjectsList[],3,FALSE),"")</f>
        <v/>
      </c>
      <c r="F93" s="21"/>
      <c r="G93" s="30"/>
      <c r="H93" s="41"/>
      <c r="I93" s="40"/>
      <c r="J93" s="43"/>
      <c r="K93" s="30"/>
      <c r="L93" s="39">
        <f>ExpenseLog[[#This Row],[Rate]]*ExpenseLog[[#This Row],[Qty]]</f>
        <v>0</v>
      </c>
    </row>
    <row r="94" spans="2:12" ht="19.5" customHeight="1" x14ac:dyDescent="0.25">
      <c r="B94" s="27"/>
      <c r="C94" s="28"/>
      <c r="D94" s="29" t="str">
        <f>IFERROR(VLOOKUP(ExpenseLog[[#This Row],[Project No]],ProjectsList[],2,FALSE),"")</f>
        <v/>
      </c>
      <c r="E94" s="29" t="str">
        <f>IFERROR(VLOOKUP(ExpenseLog[[#This Row],[Project No]],ProjectsList[],3,FALSE),"")</f>
        <v/>
      </c>
      <c r="F94" s="21"/>
      <c r="G94" s="30"/>
      <c r="H94" s="41"/>
      <c r="I94" s="40"/>
      <c r="J94" s="43"/>
      <c r="K94" s="30"/>
      <c r="L94" s="39">
        <f>ExpenseLog[[#This Row],[Rate]]*ExpenseLog[[#This Row],[Qty]]</f>
        <v>0</v>
      </c>
    </row>
    <row r="95" spans="2:12" ht="19.5" customHeight="1" x14ac:dyDescent="0.25">
      <c r="B95" s="27"/>
      <c r="C95" s="28"/>
      <c r="D95" s="29" t="str">
        <f>IFERROR(VLOOKUP(ExpenseLog[[#This Row],[Project No]],ProjectsList[],2,FALSE),"")</f>
        <v/>
      </c>
      <c r="E95" s="29" t="str">
        <f>IFERROR(VLOOKUP(ExpenseLog[[#This Row],[Project No]],ProjectsList[],3,FALSE),"")</f>
        <v/>
      </c>
      <c r="F95" s="21"/>
      <c r="G95" s="30"/>
      <c r="H95" s="41"/>
      <c r="I95" s="40"/>
      <c r="J95" s="43"/>
      <c r="K95" s="30"/>
      <c r="L95" s="39">
        <f>ExpenseLog[[#This Row],[Rate]]*ExpenseLog[[#This Row],[Qty]]</f>
        <v>0</v>
      </c>
    </row>
    <row r="96" spans="2:12" ht="19.5" customHeight="1" x14ac:dyDescent="0.25">
      <c r="B96" s="27"/>
      <c r="C96" s="28"/>
      <c r="D96" s="29" t="str">
        <f>IFERROR(VLOOKUP(ExpenseLog[[#This Row],[Project No]],ProjectsList[],2,FALSE),"")</f>
        <v/>
      </c>
      <c r="E96" s="29" t="str">
        <f>IFERROR(VLOOKUP(ExpenseLog[[#This Row],[Project No]],ProjectsList[],3,FALSE),"")</f>
        <v/>
      </c>
      <c r="F96" s="21"/>
      <c r="G96" s="30"/>
      <c r="H96" s="41"/>
      <c r="I96" s="40"/>
      <c r="J96" s="43"/>
      <c r="K96" s="30"/>
      <c r="L96" s="39">
        <f>ExpenseLog[[#This Row],[Rate]]*ExpenseLog[[#This Row],[Qty]]</f>
        <v>0</v>
      </c>
    </row>
    <row r="97" spans="2:12" ht="19.5" customHeight="1" x14ac:dyDescent="0.25">
      <c r="B97" s="27"/>
      <c r="C97" s="28"/>
      <c r="D97" s="29" t="str">
        <f>IFERROR(VLOOKUP(ExpenseLog[[#This Row],[Project No]],ProjectsList[],2,FALSE),"")</f>
        <v/>
      </c>
      <c r="E97" s="29" t="str">
        <f>IFERROR(VLOOKUP(ExpenseLog[[#This Row],[Project No]],ProjectsList[],3,FALSE),"")</f>
        <v/>
      </c>
      <c r="F97" s="21"/>
      <c r="G97" s="30"/>
      <c r="H97" s="41"/>
      <c r="I97" s="40"/>
      <c r="J97" s="43"/>
      <c r="K97" s="30"/>
      <c r="L97" s="39">
        <f>ExpenseLog[[#This Row],[Rate]]*ExpenseLog[[#This Row],[Qty]]</f>
        <v>0</v>
      </c>
    </row>
    <row r="98" spans="2:12" ht="19.5" customHeight="1" x14ac:dyDescent="0.25">
      <c r="B98" s="27"/>
      <c r="C98" s="28"/>
      <c r="D98" s="29" t="str">
        <f>IFERROR(VLOOKUP(ExpenseLog[[#This Row],[Project No]],ProjectsList[],2,FALSE),"")</f>
        <v/>
      </c>
      <c r="E98" s="29" t="str">
        <f>IFERROR(VLOOKUP(ExpenseLog[[#This Row],[Project No]],ProjectsList[],3,FALSE),"")</f>
        <v/>
      </c>
      <c r="F98" s="21"/>
      <c r="G98" s="30"/>
      <c r="H98" s="41"/>
      <c r="I98" s="40"/>
      <c r="J98" s="43"/>
      <c r="K98" s="30"/>
      <c r="L98" s="39">
        <f>ExpenseLog[[#This Row],[Rate]]*ExpenseLog[[#This Row],[Qty]]</f>
        <v>0</v>
      </c>
    </row>
    <row r="99" spans="2:12" ht="19.5" customHeight="1" x14ac:dyDescent="0.25">
      <c r="B99" s="27"/>
      <c r="C99" s="28"/>
      <c r="D99" s="29" t="str">
        <f>IFERROR(VLOOKUP(ExpenseLog[[#This Row],[Project No]],ProjectsList[],2,FALSE),"")</f>
        <v/>
      </c>
      <c r="E99" s="29" t="str">
        <f>IFERROR(VLOOKUP(ExpenseLog[[#This Row],[Project No]],ProjectsList[],3,FALSE),"")</f>
        <v/>
      </c>
      <c r="F99" s="21"/>
      <c r="G99" s="30"/>
      <c r="H99" s="41"/>
      <c r="I99" s="40"/>
      <c r="J99" s="43"/>
      <c r="K99" s="30"/>
      <c r="L99" s="39">
        <f>ExpenseLog[[#This Row],[Rate]]*ExpenseLog[[#This Row],[Qty]]</f>
        <v>0</v>
      </c>
    </row>
    <row r="100" spans="2:12" ht="19.5" customHeight="1" x14ac:dyDescent="0.25">
      <c r="B100" s="27"/>
      <c r="C100" s="28"/>
      <c r="D100" s="29" t="str">
        <f>IFERROR(VLOOKUP(ExpenseLog[[#This Row],[Project No]],ProjectsList[],2,FALSE),"")</f>
        <v/>
      </c>
      <c r="E100" s="29" t="str">
        <f>IFERROR(VLOOKUP(ExpenseLog[[#This Row],[Project No]],ProjectsList[],3,FALSE),"")</f>
        <v/>
      </c>
      <c r="F100" s="21"/>
      <c r="G100" s="30"/>
      <c r="H100" s="41"/>
      <c r="I100" s="40"/>
      <c r="J100" s="43"/>
      <c r="K100" s="30"/>
      <c r="L100" s="39">
        <f>ExpenseLog[[#This Row],[Rate]]*ExpenseLog[[#This Row],[Qty]]</f>
        <v>0</v>
      </c>
    </row>
    <row r="101" spans="2:12" ht="19.5" customHeight="1" x14ac:dyDescent="0.25">
      <c r="B101" s="27"/>
      <c r="C101" s="28"/>
      <c r="D101" s="29" t="str">
        <f>IFERROR(VLOOKUP(ExpenseLog[[#This Row],[Project No]],ProjectsList[],2,FALSE),"")</f>
        <v/>
      </c>
      <c r="E101" s="29" t="str">
        <f>IFERROR(VLOOKUP(ExpenseLog[[#This Row],[Project No]],ProjectsList[],3,FALSE),"")</f>
        <v/>
      </c>
      <c r="F101" s="21"/>
      <c r="G101" s="30"/>
      <c r="H101" s="41"/>
      <c r="I101" s="40"/>
      <c r="J101" s="43"/>
      <c r="K101" s="30"/>
      <c r="L101" s="39">
        <f>ExpenseLog[[#This Row],[Rate]]*ExpenseLog[[#This Row],[Qty]]</f>
        <v>0</v>
      </c>
    </row>
    <row r="102" spans="2:12" ht="19.5" customHeight="1" x14ac:dyDescent="0.25">
      <c r="B102" s="27"/>
      <c r="C102" s="28"/>
      <c r="D102" s="29" t="str">
        <f>IFERROR(VLOOKUP(ExpenseLog[[#This Row],[Project No]],ProjectsList[],2,FALSE),"")</f>
        <v/>
      </c>
      <c r="E102" s="29" t="str">
        <f>IFERROR(VLOOKUP(ExpenseLog[[#This Row],[Project No]],ProjectsList[],3,FALSE),"")</f>
        <v/>
      </c>
      <c r="F102" s="21"/>
      <c r="G102" s="30"/>
      <c r="H102" s="41"/>
      <c r="I102" s="40"/>
      <c r="J102" s="43"/>
      <c r="K102" s="30"/>
      <c r="L102" s="39">
        <f>ExpenseLog[[#This Row],[Rate]]*ExpenseLog[[#This Row],[Qty]]</f>
        <v>0</v>
      </c>
    </row>
    <row r="103" spans="2:12" ht="19.5" customHeight="1" x14ac:dyDescent="0.25">
      <c r="B103" s="27"/>
      <c r="C103" s="28"/>
      <c r="D103" s="29" t="str">
        <f>IFERROR(VLOOKUP(ExpenseLog[[#This Row],[Project No]],ProjectsList[],2,FALSE),"")</f>
        <v/>
      </c>
      <c r="E103" s="29" t="str">
        <f>IFERROR(VLOOKUP(ExpenseLog[[#This Row],[Project No]],ProjectsList[],3,FALSE),"")</f>
        <v/>
      </c>
      <c r="F103" s="21"/>
      <c r="G103" s="30"/>
      <c r="H103" s="41"/>
      <c r="I103" s="40"/>
      <c r="J103" s="43"/>
      <c r="K103" s="30"/>
      <c r="L103" s="39">
        <f>ExpenseLog[[#This Row],[Rate]]*ExpenseLog[[#This Row],[Qty]]</f>
        <v>0</v>
      </c>
    </row>
    <row r="104" spans="2:12" ht="19.5" customHeight="1" x14ac:dyDescent="0.25">
      <c r="B104" s="27"/>
      <c r="C104" s="28"/>
      <c r="D104" s="29" t="str">
        <f>IFERROR(VLOOKUP(ExpenseLog[[#This Row],[Project No]],ProjectsList[],2,FALSE),"")</f>
        <v/>
      </c>
      <c r="E104" s="29" t="str">
        <f>IFERROR(VLOOKUP(ExpenseLog[[#This Row],[Project No]],ProjectsList[],3,FALSE),"")</f>
        <v/>
      </c>
      <c r="F104" s="21"/>
      <c r="G104" s="30"/>
      <c r="H104" s="41"/>
      <c r="I104" s="40"/>
      <c r="J104" s="43"/>
      <c r="K104" s="30"/>
      <c r="L104" s="39">
        <f>ExpenseLog[[#This Row],[Rate]]*ExpenseLog[[#This Row],[Qty]]</f>
        <v>0</v>
      </c>
    </row>
    <row r="105" spans="2:12" ht="19.5" customHeight="1" x14ac:dyDescent="0.25">
      <c r="B105" s="27"/>
      <c r="C105" s="28"/>
      <c r="D105" s="29" t="str">
        <f>IFERROR(VLOOKUP(ExpenseLog[[#This Row],[Project No]],ProjectsList[],2,FALSE),"")</f>
        <v/>
      </c>
      <c r="E105" s="29" t="str">
        <f>IFERROR(VLOOKUP(ExpenseLog[[#This Row],[Project No]],ProjectsList[],3,FALSE),"")</f>
        <v/>
      </c>
      <c r="F105" s="21"/>
      <c r="G105" s="30"/>
      <c r="H105" s="41"/>
      <c r="I105" s="40"/>
      <c r="J105" s="43"/>
      <c r="K105" s="30"/>
      <c r="L105" s="39">
        <f>ExpenseLog[[#This Row],[Rate]]*ExpenseLog[[#This Row],[Qty]]</f>
        <v>0</v>
      </c>
    </row>
    <row r="106" spans="2:12" ht="19.5" customHeight="1" x14ac:dyDescent="0.25">
      <c r="B106" s="27"/>
      <c r="C106" s="28"/>
      <c r="D106" s="29" t="str">
        <f>IFERROR(VLOOKUP(ExpenseLog[[#This Row],[Project No]],ProjectsList[],2,FALSE),"")</f>
        <v/>
      </c>
      <c r="E106" s="29" t="str">
        <f>IFERROR(VLOOKUP(ExpenseLog[[#This Row],[Project No]],ProjectsList[],3,FALSE),"")</f>
        <v/>
      </c>
      <c r="F106" s="21"/>
      <c r="G106" s="30"/>
      <c r="H106" s="41"/>
      <c r="I106" s="40"/>
      <c r="J106" s="43"/>
      <c r="K106" s="30"/>
      <c r="L106" s="39">
        <f>ExpenseLog[[#This Row],[Rate]]*ExpenseLog[[#This Row],[Qty]]</f>
        <v>0</v>
      </c>
    </row>
    <row r="107" spans="2:12" ht="19.5" customHeight="1" x14ac:dyDescent="0.25">
      <c r="B107" s="27"/>
      <c r="C107" s="28"/>
      <c r="D107" s="29" t="str">
        <f>IFERROR(VLOOKUP(ExpenseLog[[#This Row],[Project No]],ProjectsList[],2,FALSE),"")</f>
        <v/>
      </c>
      <c r="E107" s="29" t="str">
        <f>IFERROR(VLOOKUP(ExpenseLog[[#This Row],[Project No]],ProjectsList[],3,FALSE),"")</f>
        <v/>
      </c>
      <c r="F107" s="21"/>
      <c r="G107" s="30"/>
      <c r="H107" s="41"/>
      <c r="I107" s="40"/>
      <c r="J107" s="43"/>
      <c r="K107" s="30"/>
      <c r="L107" s="39">
        <f>ExpenseLog[[#This Row],[Rate]]*ExpenseLog[[#This Row],[Qty]]</f>
        <v>0</v>
      </c>
    </row>
    <row r="108" spans="2:12" ht="19.5" customHeight="1" x14ac:dyDescent="0.25">
      <c r="B108" s="27"/>
      <c r="C108" s="28"/>
      <c r="D108" s="29" t="str">
        <f>IFERROR(VLOOKUP(ExpenseLog[[#This Row],[Project No]],ProjectsList[],2,FALSE),"")</f>
        <v/>
      </c>
      <c r="E108" s="29" t="str">
        <f>IFERROR(VLOOKUP(ExpenseLog[[#This Row],[Project No]],ProjectsList[],3,FALSE),"")</f>
        <v/>
      </c>
      <c r="F108" s="21"/>
      <c r="G108" s="30"/>
      <c r="H108" s="41"/>
      <c r="I108" s="40"/>
      <c r="J108" s="43"/>
      <c r="K108" s="30"/>
      <c r="L108" s="39">
        <f>ExpenseLog[[#This Row],[Rate]]*ExpenseLog[[#This Row],[Qty]]</f>
        <v>0</v>
      </c>
    </row>
    <row r="109" spans="2:12" ht="19.5" customHeight="1" x14ac:dyDescent="0.25">
      <c r="B109" s="27"/>
      <c r="C109" s="28"/>
      <c r="D109" s="29" t="str">
        <f>IFERROR(VLOOKUP(ExpenseLog[[#This Row],[Project No]],ProjectsList[],2,FALSE),"")</f>
        <v/>
      </c>
      <c r="E109" s="29" t="str">
        <f>IFERROR(VLOOKUP(ExpenseLog[[#This Row],[Project No]],ProjectsList[],3,FALSE),"")</f>
        <v/>
      </c>
      <c r="F109" s="21"/>
      <c r="G109" s="30"/>
      <c r="H109" s="41"/>
      <c r="I109" s="40"/>
      <c r="J109" s="43"/>
      <c r="K109" s="30"/>
      <c r="L109" s="39">
        <f>ExpenseLog[[#This Row],[Rate]]*ExpenseLog[[#This Row],[Qty]]</f>
        <v>0</v>
      </c>
    </row>
    <row r="110" spans="2:12" ht="19.5" customHeight="1" x14ac:dyDescent="0.25">
      <c r="B110" s="27"/>
      <c r="C110" s="28"/>
      <c r="D110" s="29" t="str">
        <f>IFERROR(VLOOKUP(ExpenseLog[[#This Row],[Project No]],ProjectsList[],2,FALSE),"")</f>
        <v/>
      </c>
      <c r="E110" s="29" t="str">
        <f>IFERROR(VLOOKUP(ExpenseLog[[#This Row],[Project No]],ProjectsList[],3,FALSE),"")</f>
        <v/>
      </c>
      <c r="F110" s="21"/>
      <c r="G110" s="30"/>
      <c r="H110" s="41"/>
      <c r="I110" s="40"/>
      <c r="J110" s="43"/>
      <c r="K110" s="30"/>
      <c r="L110" s="39">
        <f>ExpenseLog[[#This Row],[Rate]]*ExpenseLog[[#This Row],[Qty]]</f>
        <v>0</v>
      </c>
    </row>
    <row r="111" spans="2:12" ht="19.5" customHeight="1" x14ac:dyDescent="0.25">
      <c r="B111" s="27"/>
      <c r="C111" s="28"/>
      <c r="D111" s="29" t="str">
        <f>IFERROR(VLOOKUP(ExpenseLog[[#This Row],[Project No]],ProjectsList[],2,FALSE),"")</f>
        <v/>
      </c>
      <c r="E111" s="29" t="str">
        <f>IFERROR(VLOOKUP(ExpenseLog[[#This Row],[Project No]],ProjectsList[],3,FALSE),"")</f>
        <v/>
      </c>
      <c r="F111" s="21"/>
      <c r="G111" s="30"/>
      <c r="H111" s="41"/>
      <c r="I111" s="40"/>
      <c r="J111" s="43"/>
      <c r="K111" s="30"/>
      <c r="L111" s="39">
        <f>ExpenseLog[[#This Row],[Rate]]*ExpenseLog[[#This Row],[Qty]]</f>
        <v>0</v>
      </c>
    </row>
    <row r="112" spans="2:12" ht="19.5" customHeight="1" x14ac:dyDescent="0.25">
      <c r="B112" s="27"/>
      <c r="C112" s="28"/>
      <c r="D112" s="29" t="str">
        <f>IFERROR(VLOOKUP(ExpenseLog[[#This Row],[Project No]],ProjectsList[],2,FALSE),"")</f>
        <v/>
      </c>
      <c r="E112" s="29" t="str">
        <f>IFERROR(VLOOKUP(ExpenseLog[[#This Row],[Project No]],ProjectsList[],3,FALSE),"")</f>
        <v/>
      </c>
      <c r="F112" s="21"/>
      <c r="G112" s="30"/>
      <c r="H112" s="41"/>
      <c r="I112" s="40"/>
      <c r="J112" s="43"/>
      <c r="K112" s="30"/>
      <c r="L112" s="39">
        <f>ExpenseLog[[#This Row],[Rate]]*ExpenseLog[[#This Row],[Qty]]</f>
        <v>0</v>
      </c>
    </row>
    <row r="113" spans="2:12" ht="19.5" customHeight="1" x14ac:dyDescent="0.25">
      <c r="B113" s="27"/>
      <c r="C113" s="28"/>
      <c r="D113" s="29" t="str">
        <f>IFERROR(VLOOKUP(ExpenseLog[[#This Row],[Project No]],ProjectsList[],2,FALSE),"")</f>
        <v/>
      </c>
      <c r="E113" s="29" t="str">
        <f>IFERROR(VLOOKUP(ExpenseLog[[#This Row],[Project No]],ProjectsList[],3,FALSE),"")</f>
        <v/>
      </c>
      <c r="F113" s="21"/>
      <c r="G113" s="30"/>
      <c r="H113" s="41"/>
      <c r="I113" s="40"/>
      <c r="J113" s="43"/>
      <c r="K113" s="30"/>
      <c r="L113" s="39">
        <f>ExpenseLog[[#This Row],[Rate]]*ExpenseLog[[#This Row],[Qty]]</f>
        <v>0</v>
      </c>
    </row>
    <row r="114" spans="2:12" ht="19.5" customHeight="1" x14ac:dyDescent="0.25">
      <c r="B114" s="27"/>
      <c r="C114" s="28"/>
      <c r="D114" s="29" t="str">
        <f>IFERROR(VLOOKUP(ExpenseLog[[#This Row],[Project No]],ProjectsList[],2,FALSE),"")</f>
        <v/>
      </c>
      <c r="E114" s="29" t="str">
        <f>IFERROR(VLOOKUP(ExpenseLog[[#This Row],[Project No]],ProjectsList[],3,FALSE),"")</f>
        <v/>
      </c>
      <c r="F114" s="21"/>
      <c r="G114" s="30"/>
      <c r="H114" s="41"/>
      <c r="I114" s="40"/>
      <c r="J114" s="43"/>
      <c r="K114" s="30"/>
      <c r="L114" s="39">
        <f>ExpenseLog[[#This Row],[Rate]]*ExpenseLog[[#This Row],[Qty]]</f>
        <v>0</v>
      </c>
    </row>
    <row r="115" spans="2:12" ht="19.5" customHeight="1" x14ac:dyDescent="0.25">
      <c r="B115" s="27"/>
      <c r="C115" s="28"/>
      <c r="D115" s="29" t="str">
        <f>IFERROR(VLOOKUP(ExpenseLog[[#This Row],[Project No]],ProjectsList[],2,FALSE),"")</f>
        <v/>
      </c>
      <c r="E115" s="29" t="str">
        <f>IFERROR(VLOOKUP(ExpenseLog[[#This Row],[Project No]],ProjectsList[],3,FALSE),"")</f>
        <v/>
      </c>
      <c r="F115" s="21"/>
      <c r="G115" s="30"/>
      <c r="H115" s="41"/>
      <c r="I115" s="40"/>
      <c r="J115" s="43"/>
      <c r="K115" s="30"/>
      <c r="L115" s="39">
        <f>ExpenseLog[[#This Row],[Rate]]*ExpenseLog[[#This Row],[Qty]]</f>
        <v>0</v>
      </c>
    </row>
    <row r="116" spans="2:12" ht="19.5" customHeight="1" x14ac:dyDescent="0.25">
      <c r="B116" s="27"/>
      <c r="C116" s="28"/>
      <c r="D116" s="29" t="str">
        <f>IFERROR(VLOOKUP(ExpenseLog[[#This Row],[Project No]],ProjectsList[],2,FALSE),"")</f>
        <v/>
      </c>
      <c r="E116" s="29" t="str">
        <f>IFERROR(VLOOKUP(ExpenseLog[[#This Row],[Project No]],ProjectsList[],3,FALSE),"")</f>
        <v/>
      </c>
      <c r="F116" s="21"/>
      <c r="G116" s="30"/>
      <c r="H116" s="41"/>
      <c r="I116" s="40"/>
      <c r="J116" s="43"/>
      <c r="K116" s="30"/>
      <c r="L116" s="39">
        <f>ExpenseLog[[#This Row],[Rate]]*ExpenseLog[[#This Row],[Qty]]</f>
        <v>0</v>
      </c>
    </row>
    <row r="117" spans="2:12" ht="19.5" customHeight="1" x14ac:dyDescent="0.25">
      <c r="B117" s="27"/>
      <c r="C117" s="28"/>
      <c r="D117" s="29" t="str">
        <f>IFERROR(VLOOKUP(ExpenseLog[[#This Row],[Project No]],ProjectsList[],2,FALSE),"")</f>
        <v/>
      </c>
      <c r="E117" s="29" t="str">
        <f>IFERROR(VLOOKUP(ExpenseLog[[#This Row],[Project No]],ProjectsList[],3,FALSE),"")</f>
        <v/>
      </c>
      <c r="F117" s="21"/>
      <c r="G117" s="30"/>
      <c r="H117" s="41"/>
      <c r="I117" s="40"/>
      <c r="J117" s="43"/>
      <c r="K117" s="30"/>
      <c r="L117" s="39">
        <f>ExpenseLog[[#This Row],[Rate]]*ExpenseLog[[#This Row],[Qty]]</f>
        <v>0</v>
      </c>
    </row>
    <row r="118" spans="2:12" ht="19.5" customHeight="1" x14ac:dyDescent="0.25">
      <c r="B118" s="27"/>
      <c r="C118" s="28"/>
      <c r="D118" s="29" t="str">
        <f>IFERROR(VLOOKUP(ExpenseLog[[#This Row],[Project No]],ProjectsList[],2,FALSE),"")</f>
        <v/>
      </c>
      <c r="E118" s="29" t="str">
        <f>IFERROR(VLOOKUP(ExpenseLog[[#This Row],[Project No]],ProjectsList[],3,FALSE),"")</f>
        <v/>
      </c>
      <c r="F118" s="21"/>
      <c r="G118" s="30"/>
      <c r="H118" s="41"/>
      <c r="I118" s="40"/>
      <c r="J118" s="43"/>
      <c r="K118" s="30"/>
      <c r="L118" s="39">
        <f>ExpenseLog[[#This Row],[Rate]]*ExpenseLog[[#This Row],[Qty]]</f>
        <v>0</v>
      </c>
    </row>
    <row r="119" spans="2:12" ht="19.5" customHeight="1" x14ac:dyDescent="0.25">
      <c r="B119" s="27"/>
      <c r="C119" s="28"/>
      <c r="D119" s="29" t="str">
        <f>IFERROR(VLOOKUP(ExpenseLog[[#This Row],[Project No]],ProjectsList[],2,FALSE),"")</f>
        <v/>
      </c>
      <c r="E119" s="29" t="str">
        <f>IFERROR(VLOOKUP(ExpenseLog[[#This Row],[Project No]],ProjectsList[],3,FALSE),"")</f>
        <v/>
      </c>
      <c r="F119" s="21"/>
      <c r="G119" s="30"/>
      <c r="H119" s="41"/>
      <c r="I119" s="40"/>
      <c r="J119" s="43"/>
      <c r="K119" s="30"/>
      <c r="L119" s="39">
        <f>ExpenseLog[[#This Row],[Rate]]*ExpenseLog[[#This Row],[Qty]]</f>
        <v>0</v>
      </c>
    </row>
    <row r="120" spans="2:12" ht="19.5" customHeight="1" x14ac:dyDescent="0.25">
      <c r="B120" s="27"/>
      <c r="C120" s="28"/>
      <c r="D120" s="29" t="str">
        <f>IFERROR(VLOOKUP(ExpenseLog[[#This Row],[Project No]],ProjectsList[],2,FALSE),"")</f>
        <v/>
      </c>
      <c r="E120" s="29" t="str">
        <f>IFERROR(VLOOKUP(ExpenseLog[[#This Row],[Project No]],ProjectsList[],3,FALSE),"")</f>
        <v/>
      </c>
      <c r="F120" s="21"/>
      <c r="G120" s="30"/>
      <c r="H120" s="41"/>
      <c r="I120" s="40"/>
      <c r="J120" s="43"/>
      <c r="K120" s="30"/>
      <c r="L120" s="39">
        <f>ExpenseLog[[#This Row],[Rate]]*ExpenseLog[[#This Row],[Qty]]</f>
        <v>0</v>
      </c>
    </row>
    <row r="121" spans="2:12" ht="19.5" customHeight="1" x14ac:dyDescent="0.25">
      <c r="B121" s="27"/>
      <c r="C121" s="28"/>
      <c r="D121" s="29" t="str">
        <f>IFERROR(VLOOKUP(ExpenseLog[[#This Row],[Project No]],ProjectsList[],2,FALSE),"")</f>
        <v/>
      </c>
      <c r="E121" s="29" t="str">
        <f>IFERROR(VLOOKUP(ExpenseLog[[#This Row],[Project No]],ProjectsList[],3,FALSE),"")</f>
        <v/>
      </c>
      <c r="F121" s="21"/>
      <c r="G121" s="30"/>
      <c r="H121" s="41"/>
      <c r="I121" s="40"/>
      <c r="J121" s="43"/>
      <c r="K121" s="30"/>
      <c r="L121" s="39">
        <f>ExpenseLog[[#This Row],[Rate]]*ExpenseLog[[#This Row],[Qty]]</f>
        <v>0</v>
      </c>
    </row>
    <row r="122" spans="2:12" ht="19.5" customHeight="1" x14ac:dyDescent="0.25">
      <c r="B122" s="27"/>
      <c r="C122" s="28"/>
      <c r="D122" s="29" t="str">
        <f>IFERROR(VLOOKUP(ExpenseLog[[#This Row],[Project No]],ProjectsList[],2,FALSE),"")</f>
        <v/>
      </c>
      <c r="E122" s="29" t="str">
        <f>IFERROR(VLOOKUP(ExpenseLog[[#This Row],[Project No]],ProjectsList[],3,FALSE),"")</f>
        <v/>
      </c>
      <c r="F122" s="21"/>
      <c r="G122" s="30"/>
      <c r="H122" s="41"/>
      <c r="I122" s="40"/>
      <c r="J122" s="43"/>
      <c r="K122" s="30"/>
      <c r="L122" s="39">
        <f>ExpenseLog[[#This Row],[Rate]]*ExpenseLog[[#This Row],[Qty]]</f>
        <v>0</v>
      </c>
    </row>
    <row r="123" spans="2:12" ht="19.5" customHeight="1" x14ac:dyDescent="0.25">
      <c r="B123" s="27"/>
      <c r="C123" s="28"/>
      <c r="D123" s="29" t="str">
        <f>IFERROR(VLOOKUP(ExpenseLog[[#This Row],[Project No]],ProjectsList[],2,FALSE),"")</f>
        <v/>
      </c>
      <c r="E123" s="29" t="str">
        <f>IFERROR(VLOOKUP(ExpenseLog[[#This Row],[Project No]],ProjectsList[],3,FALSE),"")</f>
        <v/>
      </c>
      <c r="F123" s="21"/>
      <c r="G123" s="30"/>
      <c r="H123" s="41"/>
      <c r="I123" s="40"/>
      <c r="J123" s="43"/>
      <c r="K123" s="30"/>
      <c r="L123" s="39">
        <f>ExpenseLog[[#This Row],[Rate]]*ExpenseLog[[#This Row],[Qty]]</f>
        <v>0</v>
      </c>
    </row>
    <row r="124" spans="2:12" ht="19.5" customHeight="1" x14ac:dyDescent="0.25">
      <c r="B124" s="27"/>
      <c r="C124" s="28"/>
      <c r="D124" s="29" t="str">
        <f>IFERROR(VLOOKUP(ExpenseLog[[#This Row],[Project No]],ProjectsList[],2,FALSE),"")</f>
        <v/>
      </c>
      <c r="E124" s="29" t="str">
        <f>IFERROR(VLOOKUP(ExpenseLog[[#This Row],[Project No]],ProjectsList[],3,FALSE),"")</f>
        <v/>
      </c>
      <c r="F124" s="21"/>
      <c r="G124" s="30"/>
      <c r="H124" s="41"/>
      <c r="I124" s="40"/>
      <c r="J124" s="43"/>
      <c r="K124" s="30"/>
      <c r="L124" s="39">
        <f>ExpenseLog[[#This Row],[Rate]]*ExpenseLog[[#This Row],[Qty]]</f>
        <v>0</v>
      </c>
    </row>
    <row r="125" spans="2:12" ht="19.5" customHeight="1" x14ac:dyDescent="0.25">
      <c r="B125" s="27"/>
      <c r="C125" s="28"/>
      <c r="D125" s="29" t="str">
        <f>IFERROR(VLOOKUP(ExpenseLog[[#This Row],[Project No]],ProjectsList[],2,FALSE),"")</f>
        <v/>
      </c>
      <c r="E125" s="29" t="str">
        <f>IFERROR(VLOOKUP(ExpenseLog[[#This Row],[Project No]],ProjectsList[],3,FALSE),"")</f>
        <v/>
      </c>
      <c r="F125" s="21"/>
      <c r="G125" s="30"/>
      <c r="H125" s="41"/>
      <c r="I125" s="40"/>
      <c r="J125" s="43"/>
      <c r="K125" s="30"/>
      <c r="L125" s="39">
        <f>ExpenseLog[[#This Row],[Rate]]*ExpenseLog[[#This Row],[Qty]]</f>
        <v>0</v>
      </c>
    </row>
    <row r="126" spans="2:12" ht="19.5" customHeight="1" x14ac:dyDescent="0.25">
      <c r="B126" s="27"/>
      <c r="C126" s="28"/>
      <c r="D126" s="29" t="str">
        <f>IFERROR(VLOOKUP(ExpenseLog[[#This Row],[Project No]],ProjectsList[],2,FALSE),"")</f>
        <v/>
      </c>
      <c r="E126" s="29" t="str">
        <f>IFERROR(VLOOKUP(ExpenseLog[[#This Row],[Project No]],ProjectsList[],3,FALSE),"")</f>
        <v/>
      </c>
      <c r="F126" s="21"/>
      <c r="G126" s="30"/>
      <c r="H126" s="41"/>
      <c r="I126" s="40"/>
      <c r="J126" s="43"/>
      <c r="K126" s="30"/>
      <c r="L126" s="39">
        <f>ExpenseLog[[#This Row],[Rate]]*ExpenseLog[[#This Row],[Qty]]</f>
        <v>0</v>
      </c>
    </row>
    <row r="127" spans="2:12" ht="19.5" customHeight="1" x14ac:dyDescent="0.25">
      <c r="B127" s="27"/>
      <c r="C127" s="28"/>
      <c r="D127" s="29" t="str">
        <f>IFERROR(VLOOKUP(ExpenseLog[[#This Row],[Project No]],ProjectsList[],2,FALSE),"")</f>
        <v/>
      </c>
      <c r="E127" s="29" t="str">
        <f>IFERROR(VLOOKUP(ExpenseLog[[#This Row],[Project No]],ProjectsList[],3,FALSE),"")</f>
        <v/>
      </c>
      <c r="F127" s="21"/>
      <c r="G127" s="30"/>
      <c r="H127" s="41"/>
      <c r="I127" s="40"/>
      <c r="J127" s="43"/>
      <c r="K127" s="30"/>
      <c r="L127" s="39">
        <f>ExpenseLog[[#This Row],[Rate]]*ExpenseLog[[#This Row],[Qty]]</f>
        <v>0</v>
      </c>
    </row>
    <row r="128" spans="2:12" ht="19.5" customHeight="1" x14ac:dyDescent="0.25">
      <c r="B128" s="27"/>
      <c r="C128" s="28"/>
      <c r="D128" s="29" t="str">
        <f>IFERROR(VLOOKUP(ExpenseLog[[#This Row],[Project No]],ProjectsList[],2,FALSE),"")</f>
        <v/>
      </c>
      <c r="E128" s="29" t="str">
        <f>IFERROR(VLOOKUP(ExpenseLog[[#This Row],[Project No]],ProjectsList[],3,FALSE),"")</f>
        <v/>
      </c>
      <c r="F128" s="21"/>
      <c r="G128" s="30"/>
      <c r="H128" s="41"/>
      <c r="I128" s="40"/>
      <c r="J128" s="43"/>
      <c r="K128" s="30"/>
      <c r="L128" s="39">
        <f>ExpenseLog[[#This Row],[Rate]]*ExpenseLog[[#This Row],[Qty]]</f>
        <v>0</v>
      </c>
    </row>
    <row r="129" spans="2:12" ht="19.5" customHeight="1" x14ac:dyDescent="0.25">
      <c r="B129" s="27"/>
      <c r="C129" s="28"/>
      <c r="D129" s="29" t="str">
        <f>IFERROR(VLOOKUP(ExpenseLog[[#This Row],[Project No]],ProjectsList[],2,FALSE),"")</f>
        <v/>
      </c>
      <c r="E129" s="29" t="str">
        <f>IFERROR(VLOOKUP(ExpenseLog[[#This Row],[Project No]],ProjectsList[],3,FALSE),"")</f>
        <v/>
      </c>
      <c r="F129" s="21"/>
      <c r="G129" s="30"/>
      <c r="H129" s="41"/>
      <c r="I129" s="40"/>
      <c r="J129" s="43"/>
      <c r="K129" s="30"/>
      <c r="L129" s="39">
        <f>ExpenseLog[[#This Row],[Rate]]*ExpenseLog[[#This Row],[Qty]]</f>
        <v>0</v>
      </c>
    </row>
    <row r="130" spans="2:12" ht="19.5" customHeight="1" x14ac:dyDescent="0.25">
      <c r="B130" s="27"/>
      <c r="C130" s="28"/>
      <c r="D130" s="29" t="str">
        <f>IFERROR(VLOOKUP(ExpenseLog[[#This Row],[Project No]],ProjectsList[],2,FALSE),"")</f>
        <v/>
      </c>
      <c r="E130" s="29" t="str">
        <f>IFERROR(VLOOKUP(ExpenseLog[[#This Row],[Project No]],ProjectsList[],3,FALSE),"")</f>
        <v/>
      </c>
      <c r="F130" s="21"/>
      <c r="G130" s="30"/>
      <c r="H130" s="41"/>
      <c r="I130" s="40"/>
      <c r="J130" s="43"/>
      <c r="K130" s="30"/>
      <c r="L130" s="39">
        <f>ExpenseLog[[#This Row],[Rate]]*ExpenseLog[[#This Row],[Qty]]</f>
        <v>0</v>
      </c>
    </row>
    <row r="131" spans="2:12" ht="19.5" customHeight="1" x14ac:dyDescent="0.25">
      <c r="B131" s="27"/>
      <c r="C131" s="28"/>
      <c r="D131" s="29" t="str">
        <f>IFERROR(VLOOKUP(ExpenseLog[[#This Row],[Project No]],ProjectsList[],2,FALSE),"")</f>
        <v/>
      </c>
      <c r="E131" s="29" t="str">
        <f>IFERROR(VLOOKUP(ExpenseLog[[#This Row],[Project No]],ProjectsList[],3,FALSE),"")</f>
        <v/>
      </c>
      <c r="F131" s="21"/>
      <c r="G131" s="30"/>
      <c r="H131" s="41"/>
      <c r="I131" s="40"/>
      <c r="J131" s="43"/>
      <c r="K131" s="30"/>
      <c r="L131" s="39">
        <f>ExpenseLog[[#This Row],[Rate]]*ExpenseLog[[#This Row],[Qty]]</f>
        <v>0</v>
      </c>
    </row>
    <row r="132" spans="2:12" ht="19.5" customHeight="1" x14ac:dyDescent="0.25">
      <c r="B132" s="27"/>
      <c r="C132" s="28"/>
      <c r="D132" s="29" t="str">
        <f>IFERROR(VLOOKUP(ExpenseLog[[#This Row],[Project No]],ProjectsList[],2,FALSE),"")</f>
        <v/>
      </c>
      <c r="E132" s="29" t="str">
        <f>IFERROR(VLOOKUP(ExpenseLog[[#This Row],[Project No]],ProjectsList[],3,FALSE),"")</f>
        <v/>
      </c>
      <c r="F132" s="21"/>
      <c r="G132" s="30"/>
      <c r="H132" s="41"/>
      <c r="I132" s="40"/>
      <c r="J132" s="43"/>
      <c r="K132" s="30"/>
      <c r="L132" s="39">
        <f>ExpenseLog[[#This Row],[Rate]]*ExpenseLog[[#This Row],[Qty]]</f>
        <v>0</v>
      </c>
    </row>
    <row r="133" spans="2:12" ht="19.5" customHeight="1" x14ac:dyDescent="0.25">
      <c r="B133" s="27"/>
      <c r="C133" s="28"/>
      <c r="D133" s="29" t="str">
        <f>IFERROR(VLOOKUP(ExpenseLog[[#This Row],[Project No]],ProjectsList[],2,FALSE),"")</f>
        <v/>
      </c>
      <c r="E133" s="29" t="str">
        <f>IFERROR(VLOOKUP(ExpenseLog[[#This Row],[Project No]],ProjectsList[],3,FALSE),"")</f>
        <v/>
      </c>
      <c r="F133" s="21"/>
      <c r="G133" s="30"/>
      <c r="H133" s="41"/>
      <c r="I133" s="40"/>
      <c r="J133" s="43"/>
      <c r="K133" s="30"/>
      <c r="L133" s="39">
        <f>ExpenseLog[[#This Row],[Rate]]*ExpenseLog[[#This Row],[Qty]]</f>
        <v>0</v>
      </c>
    </row>
    <row r="134" spans="2:12" ht="19.5" customHeight="1" x14ac:dyDescent="0.25">
      <c r="B134" s="27"/>
      <c r="C134" s="28"/>
      <c r="D134" s="29" t="str">
        <f>IFERROR(VLOOKUP(ExpenseLog[[#This Row],[Project No]],ProjectsList[],2,FALSE),"")</f>
        <v/>
      </c>
      <c r="E134" s="29" t="str">
        <f>IFERROR(VLOOKUP(ExpenseLog[[#This Row],[Project No]],ProjectsList[],3,FALSE),"")</f>
        <v/>
      </c>
      <c r="F134" s="21"/>
      <c r="G134" s="30"/>
      <c r="H134" s="41"/>
      <c r="I134" s="40"/>
      <c r="J134" s="43"/>
      <c r="K134" s="30"/>
      <c r="L134" s="39">
        <f>ExpenseLog[[#This Row],[Rate]]*ExpenseLog[[#This Row],[Qty]]</f>
        <v>0</v>
      </c>
    </row>
    <row r="135" spans="2:12" ht="19.5" customHeight="1" x14ac:dyDescent="0.25">
      <c r="B135" s="27"/>
      <c r="C135" s="28"/>
      <c r="D135" s="29" t="str">
        <f>IFERROR(VLOOKUP(ExpenseLog[[#This Row],[Project No]],ProjectsList[],2,FALSE),"")</f>
        <v/>
      </c>
      <c r="E135" s="29" t="str">
        <f>IFERROR(VLOOKUP(ExpenseLog[[#This Row],[Project No]],ProjectsList[],3,FALSE),"")</f>
        <v/>
      </c>
      <c r="F135" s="21"/>
      <c r="G135" s="30"/>
      <c r="H135" s="41"/>
      <c r="I135" s="40"/>
      <c r="J135" s="43"/>
      <c r="K135" s="30"/>
      <c r="L135" s="39">
        <f>ExpenseLog[[#This Row],[Rate]]*ExpenseLog[[#This Row],[Qty]]</f>
        <v>0</v>
      </c>
    </row>
    <row r="136" spans="2:12" ht="19.5" customHeight="1" x14ac:dyDescent="0.25">
      <c r="B136" s="27"/>
      <c r="C136" s="28"/>
      <c r="D136" s="29" t="str">
        <f>IFERROR(VLOOKUP(ExpenseLog[[#This Row],[Project No]],ProjectsList[],2,FALSE),"")</f>
        <v/>
      </c>
      <c r="E136" s="29" t="str">
        <f>IFERROR(VLOOKUP(ExpenseLog[[#This Row],[Project No]],ProjectsList[],3,FALSE),"")</f>
        <v/>
      </c>
      <c r="F136" s="21"/>
      <c r="G136" s="30"/>
      <c r="H136" s="41"/>
      <c r="I136" s="40"/>
      <c r="J136" s="43"/>
      <c r="K136" s="30"/>
      <c r="L136" s="39">
        <f>ExpenseLog[[#This Row],[Rate]]*ExpenseLog[[#This Row],[Qty]]</f>
        <v>0</v>
      </c>
    </row>
    <row r="137" spans="2:12" ht="19.5" customHeight="1" x14ac:dyDescent="0.25">
      <c r="B137" s="27"/>
      <c r="C137" s="28"/>
      <c r="D137" s="29" t="str">
        <f>IFERROR(VLOOKUP(ExpenseLog[[#This Row],[Project No]],ProjectsList[],2,FALSE),"")</f>
        <v/>
      </c>
      <c r="E137" s="29" t="str">
        <f>IFERROR(VLOOKUP(ExpenseLog[[#This Row],[Project No]],ProjectsList[],3,FALSE),"")</f>
        <v/>
      </c>
      <c r="F137" s="21"/>
      <c r="G137" s="30"/>
      <c r="H137" s="41"/>
      <c r="I137" s="40"/>
      <c r="J137" s="43"/>
      <c r="K137" s="30"/>
      <c r="L137" s="39">
        <f>ExpenseLog[[#This Row],[Rate]]*ExpenseLog[[#This Row],[Qty]]</f>
        <v>0</v>
      </c>
    </row>
    <row r="138" spans="2:12" ht="19.5" customHeight="1" x14ac:dyDescent="0.25">
      <c r="B138" s="27"/>
      <c r="C138" s="28"/>
      <c r="D138" s="29" t="str">
        <f>IFERROR(VLOOKUP(ExpenseLog[[#This Row],[Project No]],ProjectsList[],2,FALSE),"")</f>
        <v/>
      </c>
      <c r="E138" s="29" t="str">
        <f>IFERROR(VLOOKUP(ExpenseLog[[#This Row],[Project No]],ProjectsList[],3,FALSE),"")</f>
        <v/>
      </c>
      <c r="F138" s="21"/>
      <c r="G138" s="30"/>
      <c r="H138" s="41"/>
      <c r="I138" s="40"/>
      <c r="J138" s="43"/>
      <c r="K138" s="30"/>
      <c r="L138" s="39">
        <f>ExpenseLog[[#This Row],[Rate]]*ExpenseLog[[#This Row],[Qty]]</f>
        <v>0</v>
      </c>
    </row>
    <row r="139" spans="2:12" ht="19.5" customHeight="1" x14ac:dyDescent="0.25">
      <c r="B139" s="27"/>
      <c r="C139" s="28"/>
      <c r="D139" s="29" t="str">
        <f>IFERROR(VLOOKUP(ExpenseLog[[#This Row],[Project No]],ProjectsList[],2,FALSE),"")</f>
        <v/>
      </c>
      <c r="E139" s="29" t="str">
        <f>IFERROR(VLOOKUP(ExpenseLog[[#This Row],[Project No]],ProjectsList[],3,FALSE),"")</f>
        <v/>
      </c>
      <c r="F139" s="21"/>
      <c r="G139" s="30"/>
      <c r="H139" s="41"/>
      <c r="I139" s="40"/>
      <c r="J139" s="43"/>
      <c r="K139" s="30"/>
      <c r="L139" s="39">
        <f>ExpenseLog[[#This Row],[Rate]]*ExpenseLog[[#This Row],[Qty]]</f>
        <v>0</v>
      </c>
    </row>
    <row r="140" spans="2:12" ht="19.5" customHeight="1" x14ac:dyDescent="0.25">
      <c r="B140" s="27"/>
      <c r="C140" s="28"/>
      <c r="D140" s="29" t="str">
        <f>IFERROR(VLOOKUP(ExpenseLog[[#This Row],[Project No]],ProjectsList[],2,FALSE),"")</f>
        <v/>
      </c>
      <c r="E140" s="29" t="str">
        <f>IFERROR(VLOOKUP(ExpenseLog[[#This Row],[Project No]],ProjectsList[],3,FALSE),"")</f>
        <v/>
      </c>
      <c r="F140" s="21"/>
      <c r="G140" s="30"/>
      <c r="H140" s="41"/>
      <c r="I140" s="40"/>
      <c r="J140" s="43"/>
      <c r="K140" s="30"/>
      <c r="L140" s="39">
        <f>ExpenseLog[[#This Row],[Rate]]*ExpenseLog[[#This Row],[Qty]]</f>
        <v>0</v>
      </c>
    </row>
    <row r="141" spans="2:12" ht="19.5" customHeight="1" x14ac:dyDescent="0.25">
      <c r="B141" s="27"/>
      <c r="C141" s="28"/>
      <c r="D141" s="29" t="str">
        <f>IFERROR(VLOOKUP(ExpenseLog[[#This Row],[Project No]],ProjectsList[],2,FALSE),"")</f>
        <v/>
      </c>
      <c r="E141" s="29" t="str">
        <f>IFERROR(VLOOKUP(ExpenseLog[[#This Row],[Project No]],ProjectsList[],3,FALSE),"")</f>
        <v/>
      </c>
      <c r="F141" s="21"/>
      <c r="G141" s="30"/>
      <c r="H141" s="41"/>
      <c r="I141" s="40"/>
      <c r="J141" s="43"/>
      <c r="K141" s="30"/>
      <c r="L141" s="39">
        <f>ExpenseLog[[#This Row],[Rate]]*ExpenseLog[[#This Row],[Qty]]</f>
        <v>0</v>
      </c>
    </row>
    <row r="142" spans="2:12" ht="19.5" customHeight="1" x14ac:dyDescent="0.25">
      <c r="B142" s="27"/>
      <c r="C142" s="28"/>
      <c r="D142" s="29" t="str">
        <f>IFERROR(VLOOKUP(ExpenseLog[[#This Row],[Project No]],ProjectsList[],2,FALSE),"")</f>
        <v/>
      </c>
      <c r="E142" s="29" t="str">
        <f>IFERROR(VLOOKUP(ExpenseLog[[#This Row],[Project No]],ProjectsList[],3,FALSE),"")</f>
        <v/>
      </c>
      <c r="F142" s="21"/>
      <c r="G142" s="30"/>
      <c r="H142" s="41"/>
      <c r="I142" s="40"/>
      <c r="J142" s="43"/>
      <c r="K142" s="30"/>
      <c r="L142" s="39">
        <f>ExpenseLog[[#This Row],[Rate]]*ExpenseLog[[#This Row],[Qty]]</f>
        <v>0</v>
      </c>
    </row>
    <row r="143" spans="2:12" ht="19.5" customHeight="1" x14ac:dyDescent="0.25">
      <c r="B143" s="27"/>
      <c r="C143" s="28"/>
      <c r="D143" s="29" t="str">
        <f>IFERROR(VLOOKUP(ExpenseLog[[#This Row],[Project No]],ProjectsList[],2,FALSE),"")</f>
        <v/>
      </c>
      <c r="E143" s="29" t="str">
        <f>IFERROR(VLOOKUP(ExpenseLog[[#This Row],[Project No]],ProjectsList[],3,FALSE),"")</f>
        <v/>
      </c>
      <c r="F143" s="21"/>
      <c r="G143" s="30"/>
      <c r="H143" s="41"/>
      <c r="I143" s="40"/>
      <c r="J143" s="43"/>
      <c r="K143" s="30"/>
      <c r="L143" s="39">
        <f>ExpenseLog[[#This Row],[Rate]]*ExpenseLog[[#This Row],[Qty]]</f>
        <v>0</v>
      </c>
    </row>
    <row r="144" spans="2:12" ht="19.5" customHeight="1" x14ac:dyDescent="0.25">
      <c r="B144" s="27"/>
      <c r="C144" s="28"/>
      <c r="D144" s="29" t="str">
        <f>IFERROR(VLOOKUP(ExpenseLog[[#This Row],[Project No]],ProjectsList[],2,FALSE),"")</f>
        <v/>
      </c>
      <c r="E144" s="29" t="str">
        <f>IFERROR(VLOOKUP(ExpenseLog[[#This Row],[Project No]],ProjectsList[],3,FALSE),"")</f>
        <v/>
      </c>
      <c r="F144" s="21"/>
      <c r="G144" s="30"/>
      <c r="H144" s="41"/>
      <c r="I144" s="40"/>
      <c r="J144" s="43"/>
      <c r="K144" s="30"/>
      <c r="L144" s="39">
        <f>ExpenseLog[[#This Row],[Rate]]*ExpenseLog[[#This Row],[Qty]]</f>
        <v>0</v>
      </c>
    </row>
    <row r="145" spans="2:12" ht="19.5" customHeight="1" x14ac:dyDescent="0.25">
      <c r="B145" s="27"/>
      <c r="C145" s="28"/>
      <c r="D145" s="29" t="str">
        <f>IFERROR(VLOOKUP(ExpenseLog[[#This Row],[Project No]],ProjectsList[],2,FALSE),"")</f>
        <v/>
      </c>
      <c r="E145" s="29" t="str">
        <f>IFERROR(VLOOKUP(ExpenseLog[[#This Row],[Project No]],ProjectsList[],3,FALSE),"")</f>
        <v/>
      </c>
      <c r="F145" s="21"/>
      <c r="G145" s="30"/>
      <c r="H145" s="41"/>
      <c r="I145" s="40"/>
      <c r="J145" s="43"/>
      <c r="K145" s="30"/>
      <c r="L145" s="39">
        <f>ExpenseLog[[#This Row],[Rate]]*ExpenseLog[[#This Row],[Qty]]</f>
        <v>0</v>
      </c>
    </row>
    <row r="146" spans="2:12" ht="19.5" customHeight="1" x14ac:dyDescent="0.25">
      <c r="B146" s="27"/>
      <c r="C146" s="28"/>
      <c r="D146" s="29" t="str">
        <f>IFERROR(VLOOKUP(ExpenseLog[[#This Row],[Project No]],ProjectsList[],2,FALSE),"")</f>
        <v/>
      </c>
      <c r="E146" s="29" t="str">
        <f>IFERROR(VLOOKUP(ExpenseLog[[#This Row],[Project No]],ProjectsList[],3,FALSE),"")</f>
        <v/>
      </c>
      <c r="F146" s="21"/>
      <c r="G146" s="30"/>
      <c r="H146" s="41"/>
      <c r="I146" s="40"/>
      <c r="J146" s="43"/>
      <c r="K146" s="30"/>
      <c r="L146" s="39">
        <f>ExpenseLog[[#This Row],[Rate]]*ExpenseLog[[#This Row],[Qty]]</f>
        <v>0</v>
      </c>
    </row>
    <row r="147" spans="2:12" ht="19.5" customHeight="1" x14ac:dyDescent="0.25">
      <c r="B147" s="27"/>
      <c r="C147" s="28"/>
      <c r="D147" s="29" t="str">
        <f>IFERROR(VLOOKUP(ExpenseLog[[#This Row],[Project No]],ProjectsList[],2,FALSE),"")</f>
        <v/>
      </c>
      <c r="E147" s="29" t="str">
        <f>IFERROR(VLOOKUP(ExpenseLog[[#This Row],[Project No]],ProjectsList[],3,FALSE),"")</f>
        <v/>
      </c>
      <c r="F147" s="21"/>
      <c r="G147" s="30"/>
      <c r="H147" s="41"/>
      <c r="I147" s="40"/>
      <c r="J147" s="43"/>
      <c r="K147" s="30"/>
      <c r="L147" s="39">
        <f>ExpenseLog[[#This Row],[Rate]]*ExpenseLog[[#This Row],[Qty]]</f>
        <v>0</v>
      </c>
    </row>
    <row r="148" spans="2:12" ht="19.5" customHeight="1" x14ac:dyDescent="0.25">
      <c r="B148" s="27"/>
      <c r="C148" s="28"/>
      <c r="D148" s="29" t="str">
        <f>IFERROR(VLOOKUP(ExpenseLog[[#This Row],[Project No]],ProjectsList[],2,FALSE),"")</f>
        <v/>
      </c>
      <c r="E148" s="29" t="str">
        <f>IFERROR(VLOOKUP(ExpenseLog[[#This Row],[Project No]],ProjectsList[],3,FALSE),"")</f>
        <v/>
      </c>
      <c r="F148" s="21"/>
      <c r="G148" s="30"/>
      <c r="H148" s="41"/>
      <c r="I148" s="40"/>
      <c r="J148" s="43"/>
      <c r="K148" s="30"/>
      <c r="L148" s="39">
        <f>ExpenseLog[[#This Row],[Rate]]*ExpenseLog[[#This Row],[Qty]]</f>
        <v>0</v>
      </c>
    </row>
    <row r="149" spans="2:12" ht="19.5" customHeight="1" x14ac:dyDescent="0.25">
      <c r="B149" s="27"/>
      <c r="C149" s="28"/>
      <c r="D149" s="29" t="str">
        <f>IFERROR(VLOOKUP(ExpenseLog[[#This Row],[Project No]],ProjectsList[],2,FALSE),"")</f>
        <v/>
      </c>
      <c r="E149" s="29" t="str">
        <f>IFERROR(VLOOKUP(ExpenseLog[[#This Row],[Project No]],ProjectsList[],3,FALSE),"")</f>
        <v/>
      </c>
      <c r="F149" s="21"/>
      <c r="G149" s="30"/>
      <c r="H149" s="41"/>
      <c r="I149" s="40"/>
      <c r="J149" s="43"/>
      <c r="K149" s="30"/>
      <c r="L149" s="39">
        <f>ExpenseLog[[#This Row],[Rate]]*ExpenseLog[[#This Row],[Qty]]</f>
        <v>0</v>
      </c>
    </row>
    <row r="150" spans="2:12" ht="19.5" customHeight="1" x14ac:dyDescent="0.25">
      <c r="B150" s="27"/>
      <c r="C150" s="28"/>
      <c r="D150" s="29" t="str">
        <f>IFERROR(VLOOKUP(ExpenseLog[[#This Row],[Project No]],ProjectsList[],2,FALSE),"")</f>
        <v/>
      </c>
      <c r="E150" s="29" t="str">
        <f>IFERROR(VLOOKUP(ExpenseLog[[#This Row],[Project No]],ProjectsList[],3,FALSE),"")</f>
        <v/>
      </c>
      <c r="F150" s="21"/>
      <c r="G150" s="30"/>
      <c r="H150" s="41"/>
      <c r="I150" s="40"/>
      <c r="J150" s="43"/>
      <c r="K150" s="30"/>
      <c r="L150" s="39">
        <f>ExpenseLog[[#This Row],[Rate]]*ExpenseLog[[#This Row],[Qty]]</f>
        <v>0</v>
      </c>
    </row>
    <row r="151" spans="2:12" ht="19.5" customHeight="1" x14ac:dyDescent="0.25">
      <c r="B151" s="27"/>
      <c r="C151" s="28"/>
      <c r="D151" s="29" t="str">
        <f>IFERROR(VLOOKUP(ExpenseLog[[#This Row],[Project No]],ProjectsList[],2,FALSE),"")</f>
        <v/>
      </c>
      <c r="E151" s="29" t="str">
        <f>IFERROR(VLOOKUP(ExpenseLog[[#This Row],[Project No]],ProjectsList[],3,FALSE),"")</f>
        <v/>
      </c>
      <c r="F151" s="21"/>
      <c r="G151" s="30"/>
      <c r="H151" s="41"/>
      <c r="I151" s="40"/>
      <c r="J151" s="43"/>
      <c r="K151" s="30"/>
      <c r="L151" s="39">
        <f>ExpenseLog[[#This Row],[Rate]]*ExpenseLog[[#This Row],[Qty]]</f>
        <v>0</v>
      </c>
    </row>
    <row r="152" spans="2:12" ht="19.5" customHeight="1" x14ac:dyDescent="0.25">
      <c r="B152" s="27"/>
      <c r="C152" s="28"/>
      <c r="D152" s="29" t="str">
        <f>IFERROR(VLOOKUP(ExpenseLog[[#This Row],[Project No]],ProjectsList[],2,FALSE),"")</f>
        <v/>
      </c>
      <c r="E152" s="29" t="str">
        <f>IFERROR(VLOOKUP(ExpenseLog[[#This Row],[Project No]],ProjectsList[],3,FALSE),"")</f>
        <v/>
      </c>
      <c r="F152" s="21"/>
      <c r="G152" s="30"/>
      <c r="H152" s="41"/>
      <c r="I152" s="40"/>
      <c r="J152" s="43"/>
      <c r="K152" s="30"/>
      <c r="L152" s="39">
        <f>ExpenseLog[[#This Row],[Rate]]*ExpenseLog[[#This Row],[Qty]]</f>
        <v>0</v>
      </c>
    </row>
    <row r="153" spans="2:12" ht="19.5" customHeight="1" x14ac:dyDescent="0.25">
      <c r="B153" s="27"/>
      <c r="C153" s="28"/>
      <c r="D153" s="29" t="str">
        <f>IFERROR(VLOOKUP(ExpenseLog[[#This Row],[Project No]],ProjectsList[],2,FALSE),"")</f>
        <v/>
      </c>
      <c r="E153" s="29" t="str">
        <f>IFERROR(VLOOKUP(ExpenseLog[[#This Row],[Project No]],ProjectsList[],3,FALSE),"")</f>
        <v/>
      </c>
      <c r="F153" s="21"/>
      <c r="G153" s="30"/>
      <c r="H153" s="41"/>
      <c r="I153" s="40"/>
      <c r="J153" s="43"/>
      <c r="K153" s="30"/>
      <c r="L153" s="39">
        <f>ExpenseLog[[#This Row],[Rate]]*ExpenseLog[[#This Row],[Qty]]</f>
        <v>0</v>
      </c>
    </row>
    <row r="154" spans="2:12" ht="19.5" customHeight="1" x14ac:dyDescent="0.25">
      <c r="B154" s="27"/>
      <c r="C154" s="28"/>
      <c r="D154" s="29" t="str">
        <f>IFERROR(VLOOKUP(ExpenseLog[[#This Row],[Project No]],ProjectsList[],2,FALSE),"")</f>
        <v/>
      </c>
      <c r="E154" s="29" t="str">
        <f>IFERROR(VLOOKUP(ExpenseLog[[#This Row],[Project No]],ProjectsList[],3,FALSE),"")</f>
        <v/>
      </c>
      <c r="F154" s="21"/>
      <c r="G154" s="30"/>
      <c r="H154" s="41"/>
      <c r="I154" s="40"/>
      <c r="J154" s="43"/>
      <c r="K154" s="30"/>
      <c r="L154" s="39">
        <f>ExpenseLog[[#This Row],[Rate]]*ExpenseLog[[#This Row],[Qty]]</f>
        <v>0</v>
      </c>
    </row>
    <row r="155" spans="2:12" ht="19.5" customHeight="1" x14ac:dyDescent="0.25">
      <c r="B155" s="27"/>
      <c r="C155" s="28"/>
      <c r="D155" s="29" t="str">
        <f>IFERROR(VLOOKUP(ExpenseLog[[#This Row],[Project No]],ProjectsList[],2,FALSE),"")</f>
        <v/>
      </c>
      <c r="E155" s="29" t="str">
        <f>IFERROR(VLOOKUP(ExpenseLog[[#This Row],[Project No]],ProjectsList[],3,FALSE),"")</f>
        <v/>
      </c>
      <c r="F155" s="21"/>
      <c r="G155" s="30"/>
      <c r="H155" s="41"/>
      <c r="I155" s="40"/>
      <c r="J155" s="43"/>
      <c r="K155" s="30"/>
      <c r="L155" s="39">
        <f>ExpenseLog[[#This Row],[Rate]]*ExpenseLog[[#This Row],[Qty]]</f>
        <v>0</v>
      </c>
    </row>
    <row r="156" spans="2:12" ht="19.5" customHeight="1" x14ac:dyDescent="0.25">
      <c r="B156" s="27"/>
      <c r="C156" s="28"/>
      <c r="D156" s="29" t="str">
        <f>IFERROR(VLOOKUP(ExpenseLog[[#This Row],[Project No]],ProjectsList[],2,FALSE),"")</f>
        <v/>
      </c>
      <c r="E156" s="29" t="str">
        <f>IFERROR(VLOOKUP(ExpenseLog[[#This Row],[Project No]],ProjectsList[],3,FALSE),"")</f>
        <v/>
      </c>
      <c r="F156" s="21"/>
      <c r="G156" s="30"/>
      <c r="H156" s="41"/>
      <c r="I156" s="40"/>
      <c r="J156" s="43"/>
      <c r="K156" s="30"/>
      <c r="L156" s="39">
        <f>ExpenseLog[[#This Row],[Rate]]*ExpenseLog[[#This Row],[Qty]]</f>
        <v>0</v>
      </c>
    </row>
    <row r="157" spans="2:12" ht="19.5" customHeight="1" x14ac:dyDescent="0.25">
      <c r="B157" s="27"/>
      <c r="C157" s="28"/>
      <c r="D157" s="29" t="str">
        <f>IFERROR(VLOOKUP(ExpenseLog[[#This Row],[Project No]],ProjectsList[],2,FALSE),"")</f>
        <v/>
      </c>
      <c r="E157" s="29" t="str">
        <f>IFERROR(VLOOKUP(ExpenseLog[[#This Row],[Project No]],ProjectsList[],3,FALSE),"")</f>
        <v/>
      </c>
      <c r="F157" s="21"/>
      <c r="G157" s="30"/>
      <c r="H157" s="41"/>
      <c r="I157" s="40"/>
      <c r="J157" s="43"/>
      <c r="K157" s="30"/>
      <c r="L157" s="39">
        <f>ExpenseLog[[#This Row],[Rate]]*ExpenseLog[[#This Row],[Qty]]</f>
        <v>0</v>
      </c>
    </row>
    <row r="158" spans="2:12" ht="19.5" customHeight="1" x14ac:dyDescent="0.25">
      <c r="B158" s="27"/>
      <c r="C158" s="28"/>
      <c r="D158" s="29" t="str">
        <f>IFERROR(VLOOKUP(ExpenseLog[[#This Row],[Project No]],ProjectsList[],2,FALSE),"")</f>
        <v/>
      </c>
      <c r="E158" s="29" t="str">
        <f>IFERROR(VLOOKUP(ExpenseLog[[#This Row],[Project No]],ProjectsList[],3,FALSE),"")</f>
        <v/>
      </c>
      <c r="F158" s="21"/>
      <c r="G158" s="30"/>
      <c r="H158" s="41"/>
      <c r="I158" s="40"/>
      <c r="J158" s="43"/>
      <c r="K158" s="30"/>
      <c r="L158" s="39">
        <f>ExpenseLog[[#This Row],[Rate]]*ExpenseLog[[#This Row],[Qty]]</f>
        <v>0</v>
      </c>
    </row>
    <row r="159" spans="2:12" ht="19.5" customHeight="1" x14ac:dyDescent="0.25">
      <c r="B159" s="27"/>
      <c r="C159" s="28"/>
      <c r="D159" s="29" t="str">
        <f>IFERROR(VLOOKUP(ExpenseLog[[#This Row],[Project No]],ProjectsList[],2,FALSE),"")</f>
        <v/>
      </c>
      <c r="E159" s="29" t="str">
        <f>IFERROR(VLOOKUP(ExpenseLog[[#This Row],[Project No]],ProjectsList[],3,FALSE),"")</f>
        <v/>
      </c>
      <c r="F159" s="21"/>
      <c r="G159" s="30"/>
      <c r="H159" s="41"/>
      <c r="I159" s="40"/>
      <c r="J159" s="43"/>
      <c r="K159" s="30"/>
      <c r="L159" s="39">
        <f>ExpenseLog[[#This Row],[Rate]]*ExpenseLog[[#This Row],[Qty]]</f>
        <v>0</v>
      </c>
    </row>
    <row r="160" spans="2:12" ht="19.5" customHeight="1" x14ac:dyDescent="0.25">
      <c r="B160" s="27"/>
      <c r="C160" s="28"/>
      <c r="D160" s="29" t="str">
        <f>IFERROR(VLOOKUP(ExpenseLog[[#This Row],[Project No]],ProjectsList[],2,FALSE),"")</f>
        <v/>
      </c>
      <c r="E160" s="29" t="str">
        <f>IFERROR(VLOOKUP(ExpenseLog[[#This Row],[Project No]],ProjectsList[],3,FALSE),"")</f>
        <v/>
      </c>
      <c r="F160" s="21"/>
      <c r="G160" s="30"/>
      <c r="H160" s="41"/>
      <c r="I160" s="40"/>
      <c r="J160" s="43"/>
      <c r="K160" s="30"/>
      <c r="L160" s="39">
        <f>ExpenseLog[[#This Row],[Rate]]*ExpenseLog[[#This Row],[Qty]]</f>
        <v>0</v>
      </c>
    </row>
    <row r="161" spans="2:12" ht="19.5" customHeight="1" x14ac:dyDescent="0.25">
      <c r="B161" s="27"/>
      <c r="C161" s="28"/>
      <c r="D161" s="29" t="str">
        <f>IFERROR(VLOOKUP(ExpenseLog[[#This Row],[Project No]],ProjectsList[],2,FALSE),"")</f>
        <v/>
      </c>
      <c r="E161" s="29" t="str">
        <f>IFERROR(VLOOKUP(ExpenseLog[[#This Row],[Project No]],ProjectsList[],3,FALSE),"")</f>
        <v/>
      </c>
      <c r="F161" s="21"/>
      <c r="G161" s="30"/>
      <c r="H161" s="41"/>
      <c r="I161" s="40"/>
      <c r="J161" s="43"/>
      <c r="K161" s="30"/>
      <c r="L161" s="39">
        <f>ExpenseLog[[#This Row],[Rate]]*ExpenseLog[[#This Row],[Qty]]</f>
        <v>0</v>
      </c>
    </row>
    <row r="162" spans="2:12" ht="19.5" customHeight="1" x14ac:dyDescent="0.25">
      <c r="B162" s="27"/>
      <c r="C162" s="28"/>
      <c r="D162" s="29" t="str">
        <f>IFERROR(VLOOKUP(ExpenseLog[[#This Row],[Project No]],ProjectsList[],2,FALSE),"")</f>
        <v/>
      </c>
      <c r="E162" s="29" t="str">
        <f>IFERROR(VLOOKUP(ExpenseLog[[#This Row],[Project No]],ProjectsList[],3,FALSE),"")</f>
        <v/>
      </c>
      <c r="F162" s="21"/>
      <c r="G162" s="30"/>
      <c r="H162" s="41"/>
      <c r="I162" s="40"/>
      <c r="J162" s="43"/>
      <c r="K162" s="30"/>
      <c r="L162" s="39">
        <f>ExpenseLog[[#This Row],[Rate]]*ExpenseLog[[#This Row],[Qty]]</f>
        <v>0</v>
      </c>
    </row>
    <row r="163" spans="2:12" ht="19.5" customHeight="1" x14ac:dyDescent="0.25">
      <c r="B163" s="27"/>
      <c r="C163" s="28"/>
      <c r="D163" s="29" t="str">
        <f>IFERROR(VLOOKUP(ExpenseLog[[#This Row],[Project No]],ProjectsList[],2,FALSE),"")</f>
        <v/>
      </c>
      <c r="E163" s="29" t="str">
        <f>IFERROR(VLOOKUP(ExpenseLog[[#This Row],[Project No]],ProjectsList[],3,FALSE),"")</f>
        <v/>
      </c>
      <c r="F163" s="21"/>
      <c r="G163" s="30"/>
      <c r="H163" s="41"/>
      <c r="I163" s="40"/>
      <c r="J163" s="43"/>
      <c r="K163" s="30"/>
      <c r="L163" s="39">
        <f>ExpenseLog[[#This Row],[Rate]]*ExpenseLog[[#This Row],[Qty]]</f>
        <v>0</v>
      </c>
    </row>
    <row r="164" spans="2:12" ht="19.5" customHeight="1" x14ac:dyDescent="0.25">
      <c r="B164" s="27"/>
      <c r="C164" s="28"/>
      <c r="D164" s="29" t="str">
        <f>IFERROR(VLOOKUP(ExpenseLog[[#This Row],[Project No]],ProjectsList[],2,FALSE),"")</f>
        <v/>
      </c>
      <c r="E164" s="29" t="str">
        <f>IFERROR(VLOOKUP(ExpenseLog[[#This Row],[Project No]],ProjectsList[],3,FALSE),"")</f>
        <v/>
      </c>
      <c r="F164" s="21"/>
      <c r="G164" s="30"/>
      <c r="H164" s="41"/>
      <c r="I164" s="40"/>
      <c r="J164" s="43"/>
      <c r="K164" s="30"/>
      <c r="L164" s="39">
        <f>ExpenseLog[[#This Row],[Rate]]*ExpenseLog[[#This Row],[Qty]]</f>
        <v>0</v>
      </c>
    </row>
    <row r="165" spans="2:12" ht="19.5" customHeight="1" x14ac:dyDescent="0.25">
      <c r="B165" s="27"/>
      <c r="C165" s="28"/>
      <c r="D165" s="29" t="str">
        <f>IFERROR(VLOOKUP(ExpenseLog[[#This Row],[Project No]],ProjectsList[],2,FALSE),"")</f>
        <v/>
      </c>
      <c r="E165" s="29" t="str">
        <f>IFERROR(VLOOKUP(ExpenseLog[[#This Row],[Project No]],ProjectsList[],3,FALSE),"")</f>
        <v/>
      </c>
      <c r="F165" s="21"/>
      <c r="G165" s="30"/>
      <c r="H165" s="41"/>
      <c r="I165" s="40"/>
      <c r="J165" s="43"/>
      <c r="K165" s="30"/>
      <c r="L165" s="39">
        <f>ExpenseLog[[#This Row],[Rate]]*ExpenseLog[[#This Row],[Qty]]</f>
        <v>0</v>
      </c>
    </row>
    <row r="166" spans="2:12" ht="19.5" customHeight="1" x14ac:dyDescent="0.25">
      <c r="B166" s="27"/>
      <c r="C166" s="28"/>
      <c r="D166" s="29" t="str">
        <f>IFERROR(VLOOKUP(ExpenseLog[[#This Row],[Project No]],ProjectsList[],2,FALSE),"")</f>
        <v/>
      </c>
      <c r="E166" s="29" t="str">
        <f>IFERROR(VLOOKUP(ExpenseLog[[#This Row],[Project No]],ProjectsList[],3,FALSE),"")</f>
        <v/>
      </c>
      <c r="F166" s="21"/>
      <c r="G166" s="30"/>
      <c r="H166" s="41"/>
      <c r="I166" s="40"/>
      <c r="J166" s="43"/>
      <c r="K166" s="30"/>
      <c r="L166" s="39">
        <f>ExpenseLog[[#This Row],[Rate]]*ExpenseLog[[#This Row],[Qty]]</f>
        <v>0</v>
      </c>
    </row>
    <row r="167" spans="2:12" ht="19.5" customHeight="1" x14ac:dyDescent="0.25">
      <c r="B167" s="27"/>
      <c r="C167" s="28"/>
      <c r="D167" s="29" t="str">
        <f>IFERROR(VLOOKUP(ExpenseLog[[#This Row],[Project No]],ProjectsList[],2,FALSE),"")</f>
        <v/>
      </c>
      <c r="E167" s="29" t="str">
        <f>IFERROR(VLOOKUP(ExpenseLog[[#This Row],[Project No]],ProjectsList[],3,FALSE),"")</f>
        <v/>
      </c>
      <c r="F167" s="21"/>
      <c r="G167" s="30"/>
      <c r="H167" s="41"/>
      <c r="I167" s="40"/>
      <c r="J167" s="43"/>
      <c r="K167" s="30"/>
      <c r="L167" s="39">
        <f>ExpenseLog[[#This Row],[Rate]]*ExpenseLog[[#This Row],[Qty]]</f>
        <v>0</v>
      </c>
    </row>
    <row r="168" spans="2:12" ht="19.5" customHeight="1" x14ac:dyDescent="0.25">
      <c r="B168" s="27"/>
      <c r="C168" s="28"/>
      <c r="D168" s="29" t="str">
        <f>IFERROR(VLOOKUP(ExpenseLog[[#This Row],[Project No]],ProjectsList[],2,FALSE),"")</f>
        <v/>
      </c>
      <c r="E168" s="29" t="str">
        <f>IFERROR(VLOOKUP(ExpenseLog[[#This Row],[Project No]],ProjectsList[],3,FALSE),"")</f>
        <v/>
      </c>
      <c r="F168" s="21"/>
      <c r="G168" s="30"/>
      <c r="H168" s="41"/>
      <c r="I168" s="40"/>
      <c r="J168" s="43"/>
      <c r="K168" s="30"/>
      <c r="L168" s="39">
        <f>ExpenseLog[[#This Row],[Rate]]*ExpenseLog[[#This Row],[Qty]]</f>
        <v>0</v>
      </c>
    </row>
    <row r="169" spans="2:12" ht="19.5" customHeight="1" x14ac:dyDescent="0.25">
      <c r="B169" s="27"/>
      <c r="C169" s="28"/>
      <c r="D169" s="29" t="str">
        <f>IFERROR(VLOOKUP(ExpenseLog[[#This Row],[Project No]],ProjectsList[],2,FALSE),"")</f>
        <v/>
      </c>
      <c r="E169" s="29" t="str">
        <f>IFERROR(VLOOKUP(ExpenseLog[[#This Row],[Project No]],ProjectsList[],3,FALSE),"")</f>
        <v/>
      </c>
      <c r="F169" s="21"/>
      <c r="G169" s="30"/>
      <c r="H169" s="41"/>
      <c r="I169" s="40"/>
      <c r="J169" s="43"/>
      <c r="K169" s="30"/>
      <c r="L169" s="39">
        <f>ExpenseLog[[#This Row],[Rate]]*ExpenseLog[[#This Row],[Qty]]</f>
        <v>0</v>
      </c>
    </row>
    <row r="170" spans="2:12" ht="19.5" customHeight="1" x14ac:dyDescent="0.25">
      <c r="B170" s="27"/>
      <c r="C170" s="28"/>
      <c r="D170" s="29" t="str">
        <f>IFERROR(VLOOKUP(ExpenseLog[[#This Row],[Project No]],ProjectsList[],2,FALSE),"")</f>
        <v/>
      </c>
      <c r="E170" s="29" t="str">
        <f>IFERROR(VLOOKUP(ExpenseLog[[#This Row],[Project No]],ProjectsList[],3,FALSE),"")</f>
        <v/>
      </c>
      <c r="F170" s="21"/>
      <c r="G170" s="30"/>
      <c r="H170" s="41"/>
      <c r="I170" s="40"/>
      <c r="J170" s="43"/>
      <c r="K170" s="30"/>
      <c r="L170" s="39">
        <f>ExpenseLog[[#This Row],[Rate]]*ExpenseLog[[#This Row],[Qty]]</f>
        <v>0</v>
      </c>
    </row>
    <row r="171" spans="2:12" ht="19.5" customHeight="1" x14ac:dyDescent="0.25">
      <c r="B171" s="27"/>
      <c r="C171" s="28"/>
      <c r="D171" s="29" t="str">
        <f>IFERROR(VLOOKUP(ExpenseLog[[#This Row],[Project No]],ProjectsList[],2,FALSE),"")</f>
        <v/>
      </c>
      <c r="E171" s="29" t="str">
        <f>IFERROR(VLOOKUP(ExpenseLog[[#This Row],[Project No]],ProjectsList[],3,FALSE),"")</f>
        <v/>
      </c>
      <c r="F171" s="21"/>
      <c r="G171" s="30"/>
      <c r="H171" s="41"/>
      <c r="I171" s="40"/>
      <c r="J171" s="43"/>
      <c r="K171" s="30"/>
      <c r="L171" s="39">
        <f>ExpenseLog[[#This Row],[Rate]]*ExpenseLog[[#This Row],[Qty]]</f>
        <v>0</v>
      </c>
    </row>
    <row r="172" spans="2:12" ht="19.5" customHeight="1" x14ac:dyDescent="0.25">
      <c r="B172" s="27"/>
      <c r="C172" s="28"/>
      <c r="D172" s="29" t="str">
        <f>IFERROR(VLOOKUP(ExpenseLog[[#This Row],[Project No]],ProjectsList[],2,FALSE),"")</f>
        <v/>
      </c>
      <c r="E172" s="29" t="str">
        <f>IFERROR(VLOOKUP(ExpenseLog[[#This Row],[Project No]],ProjectsList[],3,FALSE),"")</f>
        <v/>
      </c>
      <c r="F172" s="21"/>
      <c r="G172" s="30"/>
      <c r="H172" s="41"/>
      <c r="I172" s="40"/>
      <c r="J172" s="43"/>
      <c r="K172" s="30"/>
      <c r="L172" s="39">
        <f>ExpenseLog[[#This Row],[Rate]]*ExpenseLog[[#This Row],[Qty]]</f>
        <v>0</v>
      </c>
    </row>
    <row r="173" spans="2:12" ht="19.5" customHeight="1" x14ac:dyDescent="0.25">
      <c r="B173" s="27"/>
      <c r="C173" s="28"/>
      <c r="D173" s="29" t="str">
        <f>IFERROR(VLOOKUP(ExpenseLog[[#This Row],[Project No]],ProjectsList[],2,FALSE),"")</f>
        <v/>
      </c>
      <c r="E173" s="29" t="str">
        <f>IFERROR(VLOOKUP(ExpenseLog[[#This Row],[Project No]],ProjectsList[],3,FALSE),"")</f>
        <v/>
      </c>
      <c r="F173" s="21"/>
      <c r="G173" s="30"/>
      <c r="H173" s="41"/>
      <c r="I173" s="40"/>
      <c r="J173" s="43"/>
      <c r="K173" s="30"/>
      <c r="L173" s="39">
        <f>ExpenseLog[[#This Row],[Rate]]*ExpenseLog[[#This Row],[Qty]]</f>
        <v>0</v>
      </c>
    </row>
    <row r="174" spans="2:12" ht="19.5" customHeight="1" x14ac:dyDescent="0.25">
      <c r="B174" s="27"/>
      <c r="C174" s="28"/>
      <c r="D174" s="29" t="str">
        <f>IFERROR(VLOOKUP(ExpenseLog[[#This Row],[Project No]],ProjectsList[],2,FALSE),"")</f>
        <v/>
      </c>
      <c r="E174" s="29" t="str">
        <f>IFERROR(VLOOKUP(ExpenseLog[[#This Row],[Project No]],ProjectsList[],3,FALSE),"")</f>
        <v/>
      </c>
      <c r="F174" s="21"/>
      <c r="G174" s="30"/>
      <c r="H174" s="41"/>
      <c r="I174" s="40"/>
      <c r="J174" s="43"/>
      <c r="K174" s="30"/>
      <c r="L174" s="39">
        <f>ExpenseLog[[#This Row],[Rate]]*ExpenseLog[[#This Row],[Qty]]</f>
        <v>0</v>
      </c>
    </row>
    <row r="175" spans="2:12" ht="19.5" customHeight="1" x14ac:dyDescent="0.25">
      <c r="B175" s="27"/>
      <c r="C175" s="28"/>
      <c r="D175" s="29" t="str">
        <f>IFERROR(VLOOKUP(ExpenseLog[[#This Row],[Project No]],ProjectsList[],2,FALSE),"")</f>
        <v/>
      </c>
      <c r="E175" s="29" t="str">
        <f>IFERROR(VLOOKUP(ExpenseLog[[#This Row],[Project No]],ProjectsList[],3,FALSE),"")</f>
        <v/>
      </c>
      <c r="F175" s="21"/>
      <c r="G175" s="30"/>
      <c r="H175" s="41"/>
      <c r="I175" s="40"/>
      <c r="J175" s="43"/>
      <c r="K175" s="30"/>
      <c r="L175" s="39">
        <f>ExpenseLog[[#This Row],[Rate]]*ExpenseLog[[#This Row],[Qty]]</f>
        <v>0</v>
      </c>
    </row>
    <row r="176" spans="2:12" ht="19.5" customHeight="1" x14ac:dyDescent="0.25">
      <c r="B176" s="27"/>
      <c r="C176" s="28"/>
      <c r="D176" s="29" t="str">
        <f>IFERROR(VLOOKUP(ExpenseLog[[#This Row],[Project No]],ProjectsList[],2,FALSE),"")</f>
        <v/>
      </c>
      <c r="E176" s="29" t="str">
        <f>IFERROR(VLOOKUP(ExpenseLog[[#This Row],[Project No]],ProjectsList[],3,FALSE),"")</f>
        <v/>
      </c>
      <c r="F176" s="21"/>
      <c r="G176" s="30"/>
      <c r="H176" s="41"/>
      <c r="I176" s="40"/>
      <c r="J176" s="43"/>
      <c r="K176" s="30"/>
      <c r="L176" s="39">
        <f>ExpenseLog[[#This Row],[Rate]]*ExpenseLog[[#This Row],[Qty]]</f>
        <v>0</v>
      </c>
    </row>
    <row r="177" spans="2:12" ht="19.5" customHeight="1" x14ac:dyDescent="0.25">
      <c r="B177" s="27"/>
      <c r="C177" s="28"/>
      <c r="D177" s="29" t="str">
        <f>IFERROR(VLOOKUP(ExpenseLog[[#This Row],[Project No]],ProjectsList[],2,FALSE),"")</f>
        <v/>
      </c>
      <c r="E177" s="29" t="str">
        <f>IFERROR(VLOOKUP(ExpenseLog[[#This Row],[Project No]],ProjectsList[],3,FALSE),"")</f>
        <v/>
      </c>
      <c r="F177" s="21"/>
      <c r="G177" s="30"/>
      <c r="H177" s="41"/>
      <c r="I177" s="40"/>
      <c r="J177" s="43"/>
      <c r="K177" s="30"/>
      <c r="L177" s="39">
        <f>ExpenseLog[[#This Row],[Rate]]*ExpenseLog[[#This Row],[Qty]]</f>
        <v>0</v>
      </c>
    </row>
    <row r="178" spans="2:12" ht="19.5" customHeight="1" x14ac:dyDescent="0.25">
      <c r="B178" s="27"/>
      <c r="C178" s="28"/>
      <c r="D178" s="29" t="str">
        <f>IFERROR(VLOOKUP(ExpenseLog[[#This Row],[Project No]],ProjectsList[],2,FALSE),"")</f>
        <v/>
      </c>
      <c r="E178" s="29" t="str">
        <f>IFERROR(VLOOKUP(ExpenseLog[[#This Row],[Project No]],ProjectsList[],3,FALSE),"")</f>
        <v/>
      </c>
      <c r="F178" s="21"/>
      <c r="G178" s="30"/>
      <c r="H178" s="41"/>
      <c r="I178" s="40"/>
      <c r="J178" s="43"/>
      <c r="K178" s="30"/>
      <c r="L178" s="39">
        <f>ExpenseLog[[#This Row],[Rate]]*ExpenseLog[[#This Row],[Qty]]</f>
        <v>0</v>
      </c>
    </row>
    <row r="179" spans="2:12" ht="19.5" customHeight="1" x14ac:dyDescent="0.25">
      <c r="B179" s="27"/>
      <c r="C179" s="28"/>
      <c r="D179" s="29" t="str">
        <f>IFERROR(VLOOKUP(ExpenseLog[[#This Row],[Project No]],ProjectsList[],2,FALSE),"")</f>
        <v/>
      </c>
      <c r="E179" s="29" t="str">
        <f>IFERROR(VLOOKUP(ExpenseLog[[#This Row],[Project No]],ProjectsList[],3,FALSE),"")</f>
        <v/>
      </c>
      <c r="F179" s="21"/>
      <c r="G179" s="30"/>
      <c r="H179" s="41"/>
      <c r="I179" s="40"/>
      <c r="J179" s="43"/>
      <c r="K179" s="30"/>
      <c r="L179" s="39">
        <f>ExpenseLog[[#This Row],[Rate]]*ExpenseLog[[#This Row],[Qty]]</f>
        <v>0</v>
      </c>
    </row>
    <row r="180" spans="2:12" ht="19.5" customHeight="1" x14ac:dyDescent="0.25">
      <c r="B180" s="27"/>
      <c r="C180" s="28"/>
      <c r="D180" s="29" t="str">
        <f>IFERROR(VLOOKUP(ExpenseLog[[#This Row],[Project No]],ProjectsList[],2,FALSE),"")</f>
        <v/>
      </c>
      <c r="E180" s="29" t="str">
        <f>IFERROR(VLOOKUP(ExpenseLog[[#This Row],[Project No]],ProjectsList[],3,FALSE),"")</f>
        <v/>
      </c>
      <c r="F180" s="21"/>
      <c r="G180" s="30"/>
      <c r="H180" s="41"/>
      <c r="I180" s="40"/>
      <c r="J180" s="43"/>
      <c r="K180" s="30"/>
      <c r="L180" s="39">
        <f>ExpenseLog[[#This Row],[Rate]]*ExpenseLog[[#This Row],[Qty]]</f>
        <v>0</v>
      </c>
    </row>
    <row r="181" spans="2:12" ht="19.5" customHeight="1" x14ac:dyDescent="0.25">
      <c r="B181" s="27"/>
      <c r="C181" s="28"/>
      <c r="D181" s="29" t="str">
        <f>IFERROR(VLOOKUP(ExpenseLog[[#This Row],[Project No]],ProjectsList[],2,FALSE),"")</f>
        <v/>
      </c>
      <c r="E181" s="29" t="str">
        <f>IFERROR(VLOOKUP(ExpenseLog[[#This Row],[Project No]],ProjectsList[],3,FALSE),"")</f>
        <v/>
      </c>
      <c r="F181" s="21"/>
      <c r="G181" s="30"/>
      <c r="H181" s="41"/>
      <c r="I181" s="40"/>
      <c r="J181" s="43"/>
      <c r="K181" s="30"/>
      <c r="L181" s="39">
        <f>ExpenseLog[[#This Row],[Rate]]*ExpenseLog[[#This Row],[Qty]]</f>
        <v>0</v>
      </c>
    </row>
    <row r="182" spans="2:12" ht="19.5" customHeight="1" x14ac:dyDescent="0.25">
      <c r="B182" s="27"/>
      <c r="C182" s="28"/>
      <c r="D182" s="29" t="str">
        <f>IFERROR(VLOOKUP(ExpenseLog[[#This Row],[Project No]],ProjectsList[],2,FALSE),"")</f>
        <v/>
      </c>
      <c r="E182" s="29" t="str">
        <f>IFERROR(VLOOKUP(ExpenseLog[[#This Row],[Project No]],ProjectsList[],3,FALSE),"")</f>
        <v/>
      </c>
      <c r="F182" s="21"/>
      <c r="G182" s="30"/>
      <c r="H182" s="41"/>
      <c r="I182" s="40"/>
      <c r="J182" s="43"/>
      <c r="K182" s="30"/>
      <c r="L182" s="39">
        <f>ExpenseLog[[#This Row],[Rate]]*ExpenseLog[[#This Row],[Qty]]</f>
        <v>0</v>
      </c>
    </row>
    <row r="183" spans="2:12" ht="19.5" customHeight="1" x14ac:dyDescent="0.25">
      <c r="B183" s="27"/>
      <c r="C183" s="28"/>
      <c r="D183" s="29" t="str">
        <f>IFERROR(VLOOKUP(ExpenseLog[[#This Row],[Project No]],ProjectsList[],2,FALSE),"")</f>
        <v/>
      </c>
      <c r="E183" s="29" t="str">
        <f>IFERROR(VLOOKUP(ExpenseLog[[#This Row],[Project No]],ProjectsList[],3,FALSE),"")</f>
        <v/>
      </c>
      <c r="F183" s="21"/>
      <c r="G183" s="30"/>
      <c r="H183" s="41"/>
      <c r="I183" s="40"/>
      <c r="J183" s="43"/>
      <c r="K183" s="30"/>
      <c r="L183" s="39">
        <f>ExpenseLog[[#This Row],[Rate]]*ExpenseLog[[#This Row],[Qty]]</f>
        <v>0</v>
      </c>
    </row>
    <row r="184" spans="2:12" ht="19.5" customHeight="1" x14ac:dyDescent="0.25">
      <c r="B184" s="27"/>
      <c r="C184" s="28"/>
      <c r="D184" s="29" t="str">
        <f>IFERROR(VLOOKUP(ExpenseLog[[#This Row],[Project No]],ProjectsList[],2,FALSE),"")</f>
        <v/>
      </c>
      <c r="E184" s="29" t="str">
        <f>IFERROR(VLOOKUP(ExpenseLog[[#This Row],[Project No]],ProjectsList[],3,FALSE),"")</f>
        <v/>
      </c>
      <c r="F184" s="21"/>
      <c r="G184" s="30"/>
      <c r="H184" s="41"/>
      <c r="I184" s="40"/>
      <c r="J184" s="43"/>
      <c r="K184" s="30"/>
      <c r="L184" s="39">
        <f>ExpenseLog[[#This Row],[Rate]]*ExpenseLog[[#This Row],[Qty]]</f>
        <v>0</v>
      </c>
    </row>
    <row r="185" spans="2:12" ht="19.5" customHeight="1" x14ac:dyDescent="0.25">
      <c r="B185" s="27"/>
      <c r="C185" s="28"/>
      <c r="D185" s="29" t="str">
        <f>IFERROR(VLOOKUP(ExpenseLog[[#This Row],[Project No]],ProjectsList[],2,FALSE),"")</f>
        <v/>
      </c>
      <c r="E185" s="29" t="str">
        <f>IFERROR(VLOOKUP(ExpenseLog[[#This Row],[Project No]],ProjectsList[],3,FALSE),"")</f>
        <v/>
      </c>
      <c r="F185" s="21"/>
      <c r="G185" s="30"/>
      <c r="H185" s="41"/>
      <c r="I185" s="40"/>
      <c r="J185" s="43"/>
      <c r="K185" s="30"/>
      <c r="L185" s="39">
        <f>ExpenseLog[[#This Row],[Rate]]*ExpenseLog[[#This Row],[Qty]]</f>
        <v>0</v>
      </c>
    </row>
    <row r="186" spans="2:12" ht="19.5" customHeight="1" x14ac:dyDescent="0.25">
      <c r="B186" s="27"/>
      <c r="C186" s="28"/>
      <c r="D186" s="29" t="str">
        <f>IFERROR(VLOOKUP(ExpenseLog[[#This Row],[Project No]],ProjectsList[],2,FALSE),"")</f>
        <v/>
      </c>
      <c r="E186" s="29" t="str">
        <f>IFERROR(VLOOKUP(ExpenseLog[[#This Row],[Project No]],ProjectsList[],3,FALSE),"")</f>
        <v/>
      </c>
      <c r="F186" s="21"/>
      <c r="G186" s="30"/>
      <c r="H186" s="41"/>
      <c r="I186" s="40"/>
      <c r="J186" s="43"/>
      <c r="K186" s="30"/>
      <c r="L186" s="39">
        <f>ExpenseLog[[#This Row],[Rate]]*ExpenseLog[[#This Row],[Qty]]</f>
        <v>0</v>
      </c>
    </row>
    <row r="187" spans="2:12" ht="19.5" customHeight="1" x14ac:dyDescent="0.25">
      <c r="B187" s="27"/>
      <c r="C187" s="28"/>
      <c r="D187" s="29" t="str">
        <f>IFERROR(VLOOKUP(ExpenseLog[[#This Row],[Project No]],ProjectsList[],2,FALSE),"")</f>
        <v/>
      </c>
      <c r="E187" s="29" t="str">
        <f>IFERROR(VLOOKUP(ExpenseLog[[#This Row],[Project No]],ProjectsList[],3,FALSE),"")</f>
        <v/>
      </c>
      <c r="F187" s="21"/>
      <c r="G187" s="30"/>
      <c r="H187" s="41"/>
      <c r="I187" s="40"/>
      <c r="J187" s="43"/>
      <c r="K187" s="30"/>
      <c r="L187" s="39">
        <f>ExpenseLog[[#This Row],[Rate]]*ExpenseLog[[#This Row],[Qty]]</f>
        <v>0</v>
      </c>
    </row>
    <row r="188" spans="2:12" ht="19.5" customHeight="1" x14ac:dyDescent="0.25">
      <c r="B188" s="27"/>
      <c r="C188" s="28"/>
      <c r="D188" s="29" t="str">
        <f>IFERROR(VLOOKUP(ExpenseLog[[#This Row],[Project No]],ProjectsList[],2,FALSE),"")</f>
        <v/>
      </c>
      <c r="E188" s="29" t="str">
        <f>IFERROR(VLOOKUP(ExpenseLog[[#This Row],[Project No]],ProjectsList[],3,FALSE),"")</f>
        <v/>
      </c>
      <c r="F188" s="21"/>
      <c r="G188" s="30"/>
      <c r="H188" s="41"/>
      <c r="I188" s="40"/>
      <c r="J188" s="43"/>
      <c r="K188" s="30"/>
      <c r="L188" s="39">
        <f>ExpenseLog[[#This Row],[Rate]]*ExpenseLog[[#This Row],[Qty]]</f>
        <v>0</v>
      </c>
    </row>
    <row r="189" spans="2:12" ht="19.5" customHeight="1" x14ac:dyDescent="0.25">
      <c r="B189" s="27"/>
      <c r="C189" s="28"/>
      <c r="D189" s="29" t="str">
        <f>IFERROR(VLOOKUP(ExpenseLog[[#This Row],[Project No]],ProjectsList[],2,FALSE),"")</f>
        <v/>
      </c>
      <c r="E189" s="29" t="str">
        <f>IFERROR(VLOOKUP(ExpenseLog[[#This Row],[Project No]],ProjectsList[],3,FALSE),"")</f>
        <v/>
      </c>
      <c r="F189" s="21"/>
      <c r="G189" s="30"/>
      <c r="H189" s="41"/>
      <c r="I189" s="40"/>
      <c r="J189" s="43"/>
      <c r="K189" s="30"/>
      <c r="L189" s="39">
        <f>ExpenseLog[[#This Row],[Rate]]*ExpenseLog[[#This Row],[Qty]]</f>
        <v>0</v>
      </c>
    </row>
    <row r="190" spans="2:12" ht="19.5" customHeight="1" x14ac:dyDescent="0.25">
      <c r="B190" s="27"/>
      <c r="C190" s="28"/>
      <c r="D190" s="29" t="str">
        <f>IFERROR(VLOOKUP(ExpenseLog[[#This Row],[Project No]],ProjectsList[],2,FALSE),"")</f>
        <v/>
      </c>
      <c r="E190" s="29" t="str">
        <f>IFERROR(VLOOKUP(ExpenseLog[[#This Row],[Project No]],ProjectsList[],3,FALSE),"")</f>
        <v/>
      </c>
      <c r="F190" s="21"/>
      <c r="G190" s="30"/>
      <c r="H190" s="41"/>
      <c r="I190" s="40"/>
      <c r="J190" s="43"/>
      <c r="K190" s="30"/>
      <c r="L190" s="39">
        <f>ExpenseLog[[#This Row],[Rate]]*ExpenseLog[[#This Row],[Qty]]</f>
        <v>0</v>
      </c>
    </row>
    <row r="191" spans="2:12" ht="19.5" customHeight="1" x14ac:dyDescent="0.25">
      <c r="B191" s="27"/>
      <c r="C191" s="28"/>
      <c r="D191" s="29" t="str">
        <f>IFERROR(VLOOKUP(ExpenseLog[[#This Row],[Project No]],ProjectsList[],2,FALSE),"")</f>
        <v/>
      </c>
      <c r="E191" s="29" t="str">
        <f>IFERROR(VLOOKUP(ExpenseLog[[#This Row],[Project No]],ProjectsList[],3,FALSE),"")</f>
        <v/>
      </c>
      <c r="F191" s="21"/>
      <c r="G191" s="30"/>
      <c r="H191" s="41"/>
      <c r="I191" s="40"/>
      <c r="J191" s="43"/>
      <c r="K191" s="30"/>
      <c r="L191" s="39">
        <f>ExpenseLog[[#This Row],[Rate]]*ExpenseLog[[#This Row],[Qty]]</f>
        <v>0</v>
      </c>
    </row>
    <row r="192" spans="2:12" ht="19.5" customHeight="1" x14ac:dyDescent="0.25">
      <c r="B192" s="27"/>
      <c r="C192" s="28"/>
      <c r="D192" s="29" t="str">
        <f>IFERROR(VLOOKUP(ExpenseLog[[#This Row],[Project No]],ProjectsList[],2,FALSE),"")</f>
        <v/>
      </c>
      <c r="E192" s="29" t="str">
        <f>IFERROR(VLOOKUP(ExpenseLog[[#This Row],[Project No]],ProjectsList[],3,FALSE),"")</f>
        <v/>
      </c>
      <c r="F192" s="21"/>
      <c r="G192" s="30"/>
      <c r="H192" s="41"/>
      <c r="I192" s="40"/>
      <c r="J192" s="43"/>
      <c r="K192" s="30"/>
      <c r="L192" s="39">
        <f>ExpenseLog[[#This Row],[Rate]]*ExpenseLog[[#This Row],[Qty]]</f>
        <v>0</v>
      </c>
    </row>
    <row r="193" spans="2:12" ht="19.5" customHeight="1" x14ac:dyDescent="0.25">
      <c r="B193" s="27"/>
      <c r="C193" s="28"/>
      <c r="D193" s="29" t="str">
        <f>IFERROR(VLOOKUP(ExpenseLog[[#This Row],[Project No]],ProjectsList[],2,FALSE),"")</f>
        <v/>
      </c>
      <c r="E193" s="29" t="str">
        <f>IFERROR(VLOOKUP(ExpenseLog[[#This Row],[Project No]],ProjectsList[],3,FALSE),"")</f>
        <v/>
      </c>
      <c r="F193" s="21"/>
      <c r="G193" s="30"/>
      <c r="H193" s="41"/>
      <c r="I193" s="40"/>
      <c r="J193" s="43"/>
      <c r="K193" s="30"/>
      <c r="L193" s="39">
        <f>ExpenseLog[[#This Row],[Rate]]*ExpenseLog[[#This Row],[Qty]]</f>
        <v>0</v>
      </c>
    </row>
    <row r="194" spans="2:12" ht="19.5" customHeight="1" x14ac:dyDescent="0.25">
      <c r="B194" s="27"/>
      <c r="C194" s="28"/>
      <c r="D194" s="29" t="str">
        <f>IFERROR(VLOOKUP(ExpenseLog[[#This Row],[Project No]],ProjectsList[],2,FALSE),"")</f>
        <v/>
      </c>
      <c r="E194" s="29" t="str">
        <f>IFERROR(VLOOKUP(ExpenseLog[[#This Row],[Project No]],ProjectsList[],3,FALSE),"")</f>
        <v/>
      </c>
      <c r="F194" s="21"/>
      <c r="G194" s="30"/>
      <c r="H194" s="41"/>
      <c r="I194" s="40"/>
      <c r="J194" s="43"/>
      <c r="K194" s="30"/>
      <c r="L194" s="39">
        <f>ExpenseLog[[#This Row],[Rate]]*ExpenseLog[[#This Row],[Qty]]</f>
        <v>0</v>
      </c>
    </row>
    <row r="195" spans="2:12" ht="19.5" customHeight="1" x14ac:dyDescent="0.25">
      <c r="B195" s="27"/>
      <c r="C195" s="28"/>
      <c r="D195" s="29" t="str">
        <f>IFERROR(VLOOKUP(ExpenseLog[[#This Row],[Project No]],ProjectsList[],2,FALSE),"")</f>
        <v/>
      </c>
      <c r="E195" s="29" t="str">
        <f>IFERROR(VLOOKUP(ExpenseLog[[#This Row],[Project No]],ProjectsList[],3,FALSE),"")</f>
        <v/>
      </c>
      <c r="F195" s="21"/>
      <c r="G195" s="30"/>
      <c r="H195" s="41"/>
      <c r="I195" s="40"/>
      <c r="J195" s="43"/>
      <c r="K195" s="30"/>
      <c r="L195" s="39">
        <f>ExpenseLog[[#This Row],[Rate]]*ExpenseLog[[#This Row],[Qty]]</f>
        <v>0</v>
      </c>
    </row>
    <row r="196" spans="2:12" ht="19.5" customHeight="1" x14ac:dyDescent="0.25">
      <c r="B196" s="27"/>
      <c r="C196" s="28"/>
      <c r="D196" s="29" t="str">
        <f>IFERROR(VLOOKUP(ExpenseLog[[#This Row],[Project No]],ProjectsList[],2,FALSE),"")</f>
        <v/>
      </c>
      <c r="E196" s="29" t="str">
        <f>IFERROR(VLOOKUP(ExpenseLog[[#This Row],[Project No]],ProjectsList[],3,FALSE),"")</f>
        <v/>
      </c>
      <c r="F196" s="21"/>
      <c r="G196" s="30"/>
      <c r="H196" s="41"/>
      <c r="I196" s="40"/>
      <c r="J196" s="43"/>
      <c r="K196" s="30"/>
      <c r="L196" s="39">
        <f>ExpenseLog[[#This Row],[Rate]]*ExpenseLog[[#This Row],[Qty]]</f>
        <v>0</v>
      </c>
    </row>
    <row r="197" spans="2:12" ht="19.5" customHeight="1" x14ac:dyDescent="0.25">
      <c r="B197" s="27"/>
      <c r="C197" s="28"/>
      <c r="D197" s="29" t="str">
        <f>IFERROR(VLOOKUP(ExpenseLog[[#This Row],[Project No]],ProjectsList[],2,FALSE),"")</f>
        <v/>
      </c>
      <c r="E197" s="29" t="str">
        <f>IFERROR(VLOOKUP(ExpenseLog[[#This Row],[Project No]],ProjectsList[],3,FALSE),"")</f>
        <v/>
      </c>
      <c r="F197" s="21"/>
      <c r="G197" s="30"/>
      <c r="H197" s="41"/>
      <c r="I197" s="40"/>
      <c r="J197" s="43"/>
      <c r="K197" s="30"/>
      <c r="L197" s="39">
        <f>ExpenseLog[[#This Row],[Rate]]*ExpenseLog[[#This Row],[Qty]]</f>
        <v>0</v>
      </c>
    </row>
    <row r="198" spans="2:12" ht="19.5" customHeight="1" x14ac:dyDescent="0.25">
      <c r="B198" s="27"/>
      <c r="C198" s="28"/>
      <c r="D198" s="29" t="str">
        <f>IFERROR(VLOOKUP(ExpenseLog[[#This Row],[Project No]],ProjectsList[],2,FALSE),"")</f>
        <v/>
      </c>
      <c r="E198" s="29" t="str">
        <f>IFERROR(VLOOKUP(ExpenseLog[[#This Row],[Project No]],ProjectsList[],3,FALSE),"")</f>
        <v/>
      </c>
      <c r="F198" s="21"/>
      <c r="G198" s="30"/>
      <c r="H198" s="41"/>
      <c r="I198" s="40"/>
      <c r="J198" s="43"/>
      <c r="K198" s="30"/>
      <c r="L198" s="39">
        <f>ExpenseLog[[#This Row],[Rate]]*ExpenseLog[[#This Row],[Qty]]</f>
        <v>0</v>
      </c>
    </row>
    <row r="199" spans="2:12" ht="19.5" customHeight="1" x14ac:dyDescent="0.25">
      <c r="B199" s="27"/>
      <c r="C199" s="28"/>
      <c r="D199" s="29" t="str">
        <f>IFERROR(VLOOKUP(ExpenseLog[[#This Row],[Project No]],ProjectsList[],2,FALSE),"")</f>
        <v/>
      </c>
      <c r="E199" s="29" t="str">
        <f>IFERROR(VLOOKUP(ExpenseLog[[#This Row],[Project No]],ProjectsList[],3,FALSE),"")</f>
        <v/>
      </c>
      <c r="F199" s="21"/>
      <c r="G199" s="30"/>
      <c r="H199" s="41"/>
      <c r="I199" s="40"/>
      <c r="J199" s="43"/>
      <c r="K199" s="30"/>
      <c r="L199" s="39">
        <f>ExpenseLog[[#This Row],[Rate]]*ExpenseLog[[#This Row],[Qty]]</f>
        <v>0</v>
      </c>
    </row>
    <row r="200" spans="2:12" ht="19.5" customHeight="1" x14ac:dyDescent="0.25">
      <c r="B200" s="27"/>
      <c r="C200" s="28"/>
      <c r="D200" s="29" t="str">
        <f>IFERROR(VLOOKUP(ExpenseLog[[#This Row],[Project No]],ProjectsList[],2,FALSE),"")</f>
        <v/>
      </c>
      <c r="E200" s="29" t="str">
        <f>IFERROR(VLOOKUP(ExpenseLog[[#This Row],[Project No]],ProjectsList[],3,FALSE),"")</f>
        <v/>
      </c>
      <c r="F200" s="21"/>
      <c r="G200" s="30"/>
      <c r="H200" s="41"/>
      <c r="I200" s="40"/>
      <c r="J200" s="43"/>
      <c r="K200" s="30"/>
      <c r="L200" s="39">
        <f>ExpenseLog[[#This Row],[Rate]]*ExpenseLog[[#This Row],[Qty]]</f>
        <v>0</v>
      </c>
    </row>
    <row r="201" spans="2:12" ht="19.5" customHeight="1" x14ac:dyDescent="0.25">
      <c r="B201" s="27"/>
      <c r="C201" s="28"/>
      <c r="D201" s="29" t="str">
        <f>IFERROR(VLOOKUP(ExpenseLog[[#This Row],[Project No]],ProjectsList[],2,FALSE),"")</f>
        <v/>
      </c>
      <c r="E201" s="29" t="str">
        <f>IFERROR(VLOOKUP(ExpenseLog[[#This Row],[Project No]],ProjectsList[],3,FALSE),"")</f>
        <v/>
      </c>
      <c r="F201" s="21"/>
      <c r="G201" s="30"/>
      <c r="H201" s="41"/>
      <c r="I201" s="40"/>
      <c r="J201" s="43"/>
      <c r="K201" s="30"/>
      <c r="L201" s="39">
        <f>ExpenseLog[[#This Row],[Rate]]*ExpenseLog[[#This Row],[Qty]]</f>
        <v>0</v>
      </c>
    </row>
    <row r="202" spans="2:12" ht="19.5" customHeight="1" x14ac:dyDescent="0.25">
      <c r="B202" s="27"/>
      <c r="C202" s="28"/>
      <c r="D202" s="29" t="str">
        <f>IFERROR(VLOOKUP(ExpenseLog[[#This Row],[Project No]],ProjectsList[],2,FALSE),"")</f>
        <v/>
      </c>
      <c r="E202" s="29" t="str">
        <f>IFERROR(VLOOKUP(ExpenseLog[[#This Row],[Project No]],ProjectsList[],3,FALSE),"")</f>
        <v/>
      </c>
      <c r="F202" s="21"/>
      <c r="G202" s="30"/>
      <c r="H202" s="41"/>
      <c r="I202" s="40"/>
      <c r="J202" s="43"/>
      <c r="K202" s="30"/>
      <c r="L202" s="39">
        <f>ExpenseLog[[#This Row],[Rate]]*ExpenseLog[[#This Row],[Qty]]</f>
        <v>0</v>
      </c>
    </row>
    <row r="203" spans="2:12" ht="19.5" customHeight="1" x14ac:dyDescent="0.25">
      <c r="B203" s="27"/>
      <c r="C203" s="28"/>
      <c r="D203" s="29" t="str">
        <f>IFERROR(VLOOKUP(ExpenseLog[[#This Row],[Project No]],ProjectsList[],2,FALSE),"")</f>
        <v/>
      </c>
      <c r="E203" s="29" t="str">
        <f>IFERROR(VLOOKUP(ExpenseLog[[#This Row],[Project No]],ProjectsList[],3,FALSE),"")</f>
        <v/>
      </c>
      <c r="F203" s="21"/>
      <c r="G203" s="30"/>
      <c r="H203" s="41"/>
      <c r="I203" s="40"/>
      <c r="J203" s="43"/>
      <c r="K203" s="30"/>
      <c r="L203" s="39">
        <f>ExpenseLog[[#This Row],[Rate]]*ExpenseLog[[#This Row],[Qty]]</f>
        <v>0</v>
      </c>
    </row>
    <row r="204" spans="2:12" ht="19.5" customHeight="1" x14ac:dyDescent="0.25">
      <c r="B204" s="27"/>
      <c r="C204" s="28"/>
      <c r="D204" s="29" t="str">
        <f>IFERROR(VLOOKUP(ExpenseLog[[#This Row],[Project No]],ProjectsList[],2,FALSE),"")</f>
        <v/>
      </c>
      <c r="E204" s="29" t="str">
        <f>IFERROR(VLOOKUP(ExpenseLog[[#This Row],[Project No]],ProjectsList[],3,FALSE),"")</f>
        <v/>
      </c>
      <c r="F204" s="21"/>
      <c r="G204" s="30"/>
      <c r="H204" s="41"/>
      <c r="I204" s="40"/>
      <c r="J204" s="43"/>
      <c r="K204" s="30"/>
      <c r="L204" s="39">
        <f>ExpenseLog[[#This Row],[Rate]]*ExpenseLog[[#This Row],[Qty]]</f>
        <v>0</v>
      </c>
    </row>
    <row r="205" spans="2:12" ht="19.5" customHeight="1" x14ac:dyDescent="0.25">
      <c r="B205" s="27"/>
      <c r="C205" s="28"/>
      <c r="D205" s="29" t="str">
        <f>IFERROR(VLOOKUP(ExpenseLog[[#This Row],[Project No]],ProjectsList[],2,FALSE),"")</f>
        <v/>
      </c>
      <c r="E205" s="29" t="str">
        <f>IFERROR(VLOOKUP(ExpenseLog[[#This Row],[Project No]],ProjectsList[],3,FALSE),"")</f>
        <v/>
      </c>
      <c r="F205" s="21"/>
      <c r="G205" s="30"/>
      <c r="H205" s="41"/>
      <c r="I205" s="40"/>
      <c r="J205" s="43"/>
      <c r="K205" s="30"/>
      <c r="L205" s="39">
        <f>ExpenseLog[[#This Row],[Rate]]*ExpenseLog[[#This Row],[Qty]]</f>
        <v>0</v>
      </c>
    </row>
    <row r="206" spans="2:12" ht="19.5" customHeight="1" x14ac:dyDescent="0.25">
      <c r="B206" s="27"/>
      <c r="C206" s="28"/>
      <c r="D206" s="29" t="str">
        <f>IFERROR(VLOOKUP(ExpenseLog[[#This Row],[Project No]],ProjectsList[],2,FALSE),"")</f>
        <v/>
      </c>
      <c r="E206" s="29" t="str">
        <f>IFERROR(VLOOKUP(ExpenseLog[[#This Row],[Project No]],ProjectsList[],3,FALSE),"")</f>
        <v/>
      </c>
      <c r="F206" s="21"/>
      <c r="G206" s="30"/>
      <c r="H206" s="41"/>
      <c r="I206" s="40"/>
      <c r="J206" s="43"/>
      <c r="K206" s="30"/>
      <c r="L206" s="39">
        <f>ExpenseLog[[#This Row],[Rate]]*ExpenseLog[[#This Row],[Qty]]</f>
        <v>0</v>
      </c>
    </row>
    <row r="207" spans="2:12" ht="19.5" customHeight="1" x14ac:dyDescent="0.25">
      <c r="B207" s="27"/>
      <c r="C207" s="28"/>
      <c r="D207" s="29" t="str">
        <f>IFERROR(VLOOKUP(ExpenseLog[[#This Row],[Project No]],ProjectsList[],2,FALSE),"")</f>
        <v/>
      </c>
      <c r="E207" s="29" t="str">
        <f>IFERROR(VLOOKUP(ExpenseLog[[#This Row],[Project No]],ProjectsList[],3,FALSE),"")</f>
        <v/>
      </c>
      <c r="F207" s="21"/>
      <c r="G207" s="30"/>
      <c r="H207" s="41"/>
      <c r="I207" s="40"/>
      <c r="J207" s="43"/>
      <c r="K207" s="30"/>
      <c r="L207" s="39">
        <f>ExpenseLog[[#This Row],[Rate]]*ExpenseLog[[#This Row],[Qty]]</f>
        <v>0</v>
      </c>
    </row>
    <row r="208" spans="2:12" ht="19.5" customHeight="1" x14ac:dyDescent="0.25">
      <c r="B208" s="27"/>
      <c r="C208" s="28"/>
      <c r="D208" s="29" t="str">
        <f>IFERROR(VLOOKUP(ExpenseLog[[#This Row],[Project No]],ProjectsList[],2,FALSE),"")</f>
        <v/>
      </c>
      <c r="E208" s="29" t="str">
        <f>IFERROR(VLOOKUP(ExpenseLog[[#This Row],[Project No]],ProjectsList[],3,FALSE),"")</f>
        <v/>
      </c>
      <c r="F208" s="21"/>
      <c r="G208" s="30"/>
      <c r="H208" s="41"/>
      <c r="I208" s="40"/>
      <c r="J208" s="43"/>
      <c r="K208" s="30"/>
      <c r="L208" s="39">
        <f>ExpenseLog[[#This Row],[Rate]]*ExpenseLog[[#This Row],[Qty]]</f>
        <v>0</v>
      </c>
    </row>
    <row r="209" spans="2:12" ht="19.5" customHeight="1" x14ac:dyDescent="0.25">
      <c r="B209" s="27"/>
      <c r="C209" s="28"/>
      <c r="D209" s="29" t="str">
        <f>IFERROR(VLOOKUP(ExpenseLog[[#This Row],[Project No]],ProjectsList[],2,FALSE),"")</f>
        <v/>
      </c>
      <c r="E209" s="29" t="str">
        <f>IFERROR(VLOOKUP(ExpenseLog[[#This Row],[Project No]],ProjectsList[],3,FALSE),"")</f>
        <v/>
      </c>
      <c r="F209" s="21"/>
      <c r="G209" s="30"/>
      <c r="H209" s="41"/>
      <c r="I209" s="40"/>
      <c r="J209" s="43"/>
      <c r="K209" s="30"/>
      <c r="L209" s="39">
        <f>ExpenseLog[[#This Row],[Rate]]*ExpenseLog[[#This Row],[Qty]]</f>
        <v>0</v>
      </c>
    </row>
    <row r="210" spans="2:12" ht="19.5" customHeight="1" x14ac:dyDescent="0.25">
      <c r="B210" s="27"/>
      <c r="C210" s="28"/>
      <c r="D210" s="29" t="str">
        <f>IFERROR(VLOOKUP(ExpenseLog[[#This Row],[Project No]],ProjectsList[],2,FALSE),"")</f>
        <v/>
      </c>
      <c r="E210" s="29" t="str">
        <f>IFERROR(VLOOKUP(ExpenseLog[[#This Row],[Project No]],ProjectsList[],3,FALSE),"")</f>
        <v/>
      </c>
      <c r="F210" s="21"/>
      <c r="G210" s="30"/>
      <c r="H210" s="41"/>
      <c r="I210" s="40"/>
      <c r="J210" s="43"/>
      <c r="K210" s="30"/>
      <c r="L210" s="39">
        <f>ExpenseLog[[#This Row],[Rate]]*ExpenseLog[[#This Row],[Qty]]</f>
        <v>0</v>
      </c>
    </row>
    <row r="211" spans="2:12" ht="19.5" customHeight="1" x14ac:dyDescent="0.25">
      <c r="B211" s="27"/>
      <c r="C211" s="28"/>
      <c r="D211" s="29" t="str">
        <f>IFERROR(VLOOKUP(ExpenseLog[[#This Row],[Project No]],ProjectsList[],2,FALSE),"")</f>
        <v/>
      </c>
      <c r="E211" s="29" t="str">
        <f>IFERROR(VLOOKUP(ExpenseLog[[#This Row],[Project No]],ProjectsList[],3,FALSE),"")</f>
        <v/>
      </c>
      <c r="F211" s="21"/>
      <c r="G211" s="30"/>
      <c r="H211" s="41"/>
      <c r="I211" s="40"/>
      <c r="J211" s="43"/>
      <c r="K211" s="30"/>
      <c r="L211" s="39">
        <f>ExpenseLog[[#This Row],[Rate]]*ExpenseLog[[#This Row],[Qty]]</f>
        <v>0</v>
      </c>
    </row>
    <row r="212" spans="2:12" ht="19.5" customHeight="1" x14ac:dyDescent="0.25">
      <c r="B212" s="27"/>
      <c r="C212" s="28"/>
      <c r="D212" s="29" t="str">
        <f>IFERROR(VLOOKUP(ExpenseLog[[#This Row],[Project No]],ProjectsList[],2,FALSE),"")</f>
        <v/>
      </c>
      <c r="E212" s="29" t="str">
        <f>IFERROR(VLOOKUP(ExpenseLog[[#This Row],[Project No]],ProjectsList[],3,FALSE),"")</f>
        <v/>
      </c>
      <c r="F212" s="21"/>
      <c r="G212" s="30"/>
      <c r="H212" s="41"/>
      <c r="I212" s="40"/>
      <c r="J212" s="43"/>
      <c r="K212" s="30"/>
      <c r="L212" s="39">
        <f>ExpenseLog[[#This Row],[Rate]]*ExpenseLog[[#This Row],[Qty]]</f>
        <v>0</v>
      </c>
    </row>
    <row r="213" spans="2:12" ht="19.5" customHeight="1" x14ac:dyDescent="0.25">
      <c r="B213" s="27"/>
      <c r="C213" s="28"/>
      <c r="D213" s="29" t="str">
        <f>IFERROR(VLOOKUP(ExpenseLog[[#This Row],[Project No]],ProjectsList[],2,FALSE),"")</f>
        <v/>
      </c>
      <c r="E213" s="29" t="str">
        <f>IFERROR(VLOOKUP(ExpenseLog[[#This Row],[Project No]],ProjectsList[],3,FALSE),"")</f>
        <v/>
      </c>
      <c r="F213" s="21"/>
      <c r="G213" s="30"/>
      <c r="H213" s="41"/>
      <c r="I213" s="40"/>
      <c r="J213" s="43"/>
      <c r="K213" s="30"/>
      <c r="L213" s="39">
        <f>ExpenseLog[[#This Row],[Rate]]*ExpenseLog[[#This Row],[Qty]]</f>
        <v>0</v>
      </c>
    </row>
    <row r="214" spans="2:12" ht="19.5" customHeight="1" x14ac:dyDescent="0.25">
      <c r="B214" s="27"/>
      <c r="C214" s="28"/>
      <c r="D214" s="29" t="str">
        <f>IFERROR(VLOOKUP(ExpenseLog[[#This Row],[Project No]],ProjectsList[],2,FALSE),"")</f>
        <v/>
      </c>
      <c r="E214" s="29" t="str">
        <f>IFERROR(VLOOKUP(ExpenseLog[[#This Row],[Project No]],ProjectsList[],3,FALSE),"")</f>
        <v/>
      </c>
      <c r="F214" s="21"/>
      <c r="G214" s="30"/>
      <c r="H214" s="41"/>
      <c r="I214" s="40"/>
      <c r="J214" s="43"/>
      <c r="K214" s="30"/>
      <c r="L214" s="39">
        <f>ExpenseLog[[#This Row],[Rate]]*ExpenseLog[[#This Row],[Qty]]</f>
        <v>0</v>
      </c>
    </row>
    <row r="215" spans="2:12" ht="19.5" customHeight="1" x14ac:dyDescent="0.25">
      <c r="B215" s="27"/>
      <c r="C215" s="28"/>
      <c r="D215" s="29" t="str">
        <f>IFERROR(VLOOKUP(ExpenseLog[[#This Row],[Project No]],ProjectsList[],2,FALSE),"")</f>
        <v/>
      </c>
      <c r="E215" s="29" t="str">
        <f>IFERROR(VLOOKUP(ExpenseLog[[#This Row],[Project No]],ProjectsList[],3,FALSE),"")</f>
        <v/>
      </c>
      <c r="F215" s="21"/>
      <c r="G215" s="30"/>
      <c r="H215" s="41"/>
      <c r="I215" s="40"/>
      <c r="J215" s="43"/>
      <c r="K215" s="30"/>
      <c r="L215" s="39">
        <f>ExpenseLog[[#This Row],[Rate]]*ExpenseLog[[#This Row],[Qty]]</f>
        <v>0</v>
      </c>
    </row>
    <row r="216" spans="2:12" ht="19.5" customHeight="1" x14ac:dyDescent="0.25">
      <c r="B216" s="27"/>
      <c r="C216" s="28"/>
      <c r="D216" s="29" t="str">
        <f>IFERROR(VLOOKUP(ExpenseLog[[#This Row],[Project No]],ProjectsList[],2,FALSE),"")</f>
        <v/>
      </c>
      <c r="E216" s="29" t="str">
        <f>IFERROR(VLOOKUP(ExpenseLog[[#This Row],[Project No]],ProjectsList[],3,FALSE),"")</f>
        <v/>
      </c>
      <c r="F216" s="21"/>
      <c r="G216" s="30"/>
      <c r="H216" s="41"/>
      <c r="I216" s="40"/>
      <c r="J216" s="43"/>
      <c r="K216" s="30"/>
      <c r="L216" s="39">
        <f>ExpenseLog[[#This Row],[Rate]]*ExpenseLog[[#This Row],[Qty]]</f>
        <v>0</v>
      </c>
    </row>
    <row r="217" spans="2:12" ht="19.5" customHeight="1" x14ac:dyDescent="0.25">
      <c r="B217" s="27"/>
      <c r="C217" s="28"/>
      <c r="D217" s="29" t="str">
        <f>IFERROR(VLOOKUP(ExpenseLog[[#This Row],[Project No]],ProjectsList[],2,FALSE),"")</f>
        <v/>
      </c>
      <c r="E217" s="29" t="str">
        <f>IFERROR(VLOOKUP(ExpenseLog[[#This Row],[Project No]],ProjectsList[],3,FALSE),"")</f>
        <v/>
      </c>
      <c r="F217" s="21"/>
      <c r="G217" s="30"/>
      <c r="H217" s="41"/>
      <c r="I217" s="40"/>
      <c r="J217" s="43"/>
      <c r="K217" s="30"/>
      <c r="L217" s="39">
        <f>ExpenseLog[[#This Row],[Rate]]*ExpenseLog[[#This Row],[Qty]]</f>
        <v>0</v>
      </c>
    </row>
    <row r="218" spans="2:12" ht="19.5" customHeight="1" x14ac:dyDescent="0.25">
      <c r="B218" s="27"/>
      <c r="C218" s="28"/>
      <c r="D218" s="29" t="str">
        <f>IFERROR(VLOOKUP(ExpenseLog[[#This Row],[Project No]],ProjectsList[],2,FALSE),"")</f>
        <v/>
      </c>
      <c r="E218" s="29" t="str">
        <f>IFERROR(VLOOKUP(ExpenseLog[[#This Row],[Project No]],ProjectsList[],3,FALSE),"")</f>
        <v/>
      </c>
      <c r="F218" s="21"/>
      <c r="G218" s="30"/>
      <c r="H218" s="41"/>
      <c r="I218" s="40"/>
      <c r="J218" s="43"/>
      <c r="K218" s="30"/>
      <c r="L218" s="39">
        <f>ExpenseLog[[#This Row],[Rate]]*ExpenseLog[[#This Row],[Qty]]</f>
        <v>0</v>
      </c>
    </row>
    <row r="219" spans="2:12" ht="19.5" customHeight="1" x14ac:dyDescent="0.25">
      <c r="B219" s="27"/>
      <c r="C219" s="28"/>
      <c r="D219" s="29" t="str">
        <f>IFERROR(VLOOKUP(ExpenseLog[[#This Row],[Project No]],ProjectsList[],2,FALSE),"")</f>
        <v/>
      </c>
      <c r="E219" s="29" t="str">
        <f>IFERROR(VLOOKUP(ExpenseLog[[#This Row],[Project No]],ProjectsList[],3,FALSE),"")</f>
        <v/>
      </c>
      <c r="F219" s="21"/>
      <c r="G219" s="30"/>
      <c r="H219" s="41"/>
      <c r="I219" s="40"/>
      <c r="J219" s="43"/>
      <c r="K219" s="30"/>
      <c r="L219" s="39">
        <f>ExpenseLog[[#This Row],[Rate]]*ExpenseLog[[#This Row],[Qty]]</f>
        <v>0</v>
      </c>
    </row>
    <row r="220" spans="2:12" ht="19.5" customHeight="1" x14ac:dyDescent="0.25">
      <c r="B220" s="27"/>
      <c r="C220" s="28"/>
      <c r="D220" s="29" t="str">
        <f>IFERROR(VLOOKUP(ExpenseLog[[#This Row],[Project No]],ProjectsList[],2,FALSE),"")</f>
        <v/>
      </c>
      <c r="E220" s="29" t="str">
        <f>IFERROR(VLOOKUP(ExpenseLog[[#This Row],[Project No]],ProjectsList[],3,FALSE),"")</f>
        <v/>
      </c>
      <c r="F220" s="21"/>
      <c r="G220" s="30"/>
      <c r="H220" s="41"/>
      <c r="I220" s="40"/>
      <c r="J220" s="43"/>
      <c r="K220" s="30"/>
      <c r="L220" s="39">
        <f>ExpenseLog[[#This Row],[Rate]]*ExpenseLog[[#This Row],[Qty]]</f>
        <v>0</v>
      </c>
    </row>
    <row r="221" spans="2:12" ht="19.5" customHeight="1" x14ac:dyDescent="0.25">
      <c r="B221" s="27"/>
      <c r="C221" s="28"/>
      <c r="D221" s="29" t="str">
        <f>IFERROR(VLOOKUP(ExpenseLog[[#This Row],[Project No]],ProjectsList[],2,FALSE),"")</f>
        <v/>
      </c>
      <c r="E221" s="29" t="str">
        <f>IFERROR(VLOOKUP(ExpenseLog[[#This Row],[Project No]],ProjectsList[],3,FALSE),"")</f>
        <v/>
      </c>
      <c r="F221" s="21"/>
      <c r="G221" s="30"/>
      <c r="H221" s="41"/>
      <c r="I221" s="40"/>
      <c r="J221" s="43"/>
      <c r="K221" s="30"/>
      <c r="L221" s="39">
        <f>ExpenseLog[[#This Row],[Rate]]*ExpenseLog[[#This Row],[Qty]]</f>
        <v>0</v>
      </c>
    </row>
    <row r="222" spans="2:12" ht="19.5" customHeight="1" x14ac:dyDescent="0.25">
      <c r="B222" s="27"/>
      <c r="C222" s="28"/>
      <c r="D222" s="29" t="str">
        <f>IFERROR(VLOOKUP(ExpenseLog[[#This Row],[Project No]],ProjectsList[],2,FALSE),"")</f>
        <v/>
      </c>
      <c r="E222" s="29" t="str">
        <f>IFERROR(VLOOKUP(ExpenseLog[[#This Row],[Project No]],ProjectsList[],3,FALSE),"")</f>
        <v/>
      </c>
      <c r="F222" s="21"/>
      <c r="G222" s="30"/>
      <c r="H222" s="41"/>
      <c r="I222" s="40"/>
      <c r="J222" s="43"/>
      <c r="K222" s="30"/>
      <c r="L222" s="39">
        <f>ExpenseLog[[#This Row],[Rate]]*ExpenseLog[[#This Row],[Qty]]</f>
        <v>0</v>
      </c>
    </row>
    <row r="223" spans="2:12" ht="19.5" customHeight="1" x14ac:dyDescent="0.25">
      <c r="B223" s="27"/>
      <c r="C223" s="28"/>
      <c r="D223" s="29" t="str">
        <f>IFERROR(VLOOKUP(ExpenseLog[[#This Row],[Project No]],ProjectsList[],2,FALSE),"")</f>
        <v/>
      </c>
      <c r="E223" s="29" t="str">
        <f>IFERROR(VLOOKUP(ExpenseLog[[#This Row],[Project No]],ProjectsList[],3,FALSE),"")</f>
        <v/>
      </c>
      <c r="F223" s="21"/>
      <c r="G223" s="30"/>
      <c r="H223" s="41"/>
      <c r="I223" s="40"/>
      <c r="J223" s="43"/>
      <c r="K223" s="30"/>
      <c r="L223" s="39">
        <f>ExpenseLog[[#This Row],[Rate]]*ExpenseLog[[#This Row],[Qty]]</f>
        <v>0</v>
      </c>
    </row>
    <row r="224" spans="2:12" ht="19.5" customHeight="1" x14ac:dyDescent="0.25">
      <c r="B224" s="27"/>
      <c r="C224" s="28"/>
      <c r="D224" s="29" t="str">
        <f>IFERROR(VLOOKUP(ExpenseLog[[#This Row],[Project No]],ProjectsList[],2,FALSE),"")</f>
        <v/>
      </c>
      <c r="E224" s="29" t="str">
        <f>IFERROR(VLOOKUP(ExpenseLog[[#This Row],[Project No]],ProjectsList[],3,FALSE),"")</f>
        <v/>
      </c>
      <c r="F224" s="21"/>
      <c r="G224" s="30"/>
      <c r="H224" s="41"/>
      <c r="I224" s="40"/>
      <c r="J224" s="43"/>
      <c r="K224" s="30"/>
      <c r="L224" s="39">
        <f>ExpenseLog[[#This Row],[Rate]]*ExpenseLog[[#This Row],[Qty]]</f>
        <v>0</v>
      </c>
    </row>
    <row r="225" spans="2:12" ht="19.5" customHeight="1" x14ac:dyDescent="0.25">
      <c r="B225" s="27"/>
      <c r="C225" s="28"/>
      <c r="D225" s="29" t="str">
        <f>IFERROR(VLOOKUP(ExpenseLog[[#This Row],[Project No]],ProjectsList[],2,FALSE),"")</f>
        <v/>
      </c>
      <c r="E225" s="29" t="str">
        <f>IFERROR(VLOOKUP(ExpenseLog[[#This Row],[Project No]],ProjectsList[],3,FALSE),"")</f>
        <v/>
      </c>
      <c r="F225" s="21"/>
      <c r="G225" s="30"/>
      <c r="H225" s="41"/>
      <c r="I225" s="40"/>
      <c r="J225" s="43"/>
      <c r="K225" s="30"/>
      <c r="L225" s="39">
        <f>ExpenseLog[[#This Row],[Rate]]*ExpenseLog[[#This Row],[Qty]]</f>
        <v>0</v>
      </c>
    </row>
    <row r="226" spans="2:12" ht="19.5" customHeight="1" x14ac:dyDescent="0.25">
      <c r="B226" s="27"/>
      <c r="C226" s="28"/>
      <c r="D226" s="29" t="str">
        <f>IFERROR(VLOOKUP(ExpenseLog[[#This Row],[Project No]],ProjectsList[],2,FALSE),"")</f>
        <v/>
      </c>
      <c r="E226" s="29" t="str">
        <f>IFERROR(VLOOKUP(ExpenseLog[[#This Row],[Project No]],ProjectsList[],3,FALSE),"")</f>
        <v/>
      </c>
      <c r="F226" s="21"/>
      <c r="G226" s="30"/>
      <c r="H226" s="41"/>
      <c r="I226" s="40"/>
      <c r="J226" s="43"/>
      <c r="K226" s="30"/>
      <c r="L226" s="39">
        <f>ExpenseLog[[#This Row],[Rate]]*ExpenseLog[[#This Row],[Qty]]</f>
        <v>0</v>
      </c>
    </row>
    <row r="227" spans="2:12" ht="19.5" customHeight="1" x14ac:dyDescent="0.25">
      <c r="B227" s="27"/>
      <c r="C227" s="28"/>
      <c r="D227" s="29" t="str">
        <f>IFERROR(VLOOKUP(ExpenseLog[[#This Row],[Project No]],ProjectsList[],2,FALSE),"")</f>
        <v/>
      </c>
      <c r="E227" s="29" t="str">
        <f>IFERROR(VLOOKUP(ExpenseLog[[#This Row],[Project No]],ProjectsList[],3,FALSE),"")</f>
        <v/>
      </c>
      <c r="F227" s="21"/>
      <c r="G227" s="30"/>
      <c r="H227" s="41"/>
      <c r="I227" s="40"/>
      <c r="J227" s="43"/>
      <c r="K227" s="30"/>
      <c r="L227" s="39">
        <f>ExpenseLog[[#This Row],[Rate]]*ExpenseLog[[#This Row],[Qty]]</f>
        <v>0</v>
      </c>
    </row>
    <row r="228" spans="2:12" ht="19.5" customHeight="1" x14ac:dyDescent="0.25">
      <c r="B228" s="27"/>
      <c r="C228" s="28"/>
      <c r="D228" s="29" t="str">
        <f>IFERROR(VLOOKUP(ExpenseLog[[#This Row],[Project No]],ProjectsList[],2,FALSE),"")</f>
        <v/>
      </c>
      <c r="E228" s="29" t="str">
        <f>IFERROR(VLOOKUP(ExpenseLog[[#This Row],[Project No]],ProjectsList[],3,FALSE),"")</f>
        <v/>
      </c>
      <c r="F228" s="21"/>
      <c r="G228" s="30"/>
      <c r="H228" s="41"/>
      <c r="I228" s="40"/>
      <c r="J228" s="43"/>
      <c r="K228" s="30"/>
      <c r="L228" s="39">
        <f>ExpenseLog[[#This Row],[Rate]]*ExpenseLog[[#This Row],[Qty]]</f>
        <v>0</v>
      </c>
    </row>
    <row r="229" spans="2:12" ht="19.5" customHeight="1" x14ac:dyDescent="0.25">
      <c r="B229" s="27"/>
      <c r="C229" s="28"/>
      <c r="D229" s="29" t="str">
        <f>IFERROR(VLOOKUP(ExpenseLog[[#This Row],[Project No]],ProjectsList[],2,FALSE),"")</f>
        <v/>
      </c>
      <c r="E229" s="29" t="str">
        <f>IFERROR(VLOOKUP(ExpenseLog[[#This Row],[Project No]],ProjectsList[],3,FALSE),"")</f>
        <v/>
      </c>
      <c r="F229" s="21"/>
      <c r="G229" s="30"/>
      <c r="H229" s="41"/>
      <c r="I229" s="40"/>
      <c r="J229" s="43"/>
      <c r="K229" s="30"/>
      <c r="L229" s="39">
        <f>ExpenseLog[[#This Row],[Rate]]*ExpenseLog[[#This Row],[Qty]]</f>
        <v>0</v>
      </c>
    </row>
    <row r="230" spans="2:12" ht="19.5" customHeight="1" x14ac:dyDescent="0.25">
      <c r="B230" s="27"/>
      <c r="C230" s="28"/>
      <c r="D230" s="29" t="str">
        <f>IFERROR(VLOOKUP(ExpenseLog[[#This Row],[Project No]],ProjectsList[],2,FALSE),"")</f>
        <v/>
      </c>
      <c r="E230" s="29" t="str">
        <f>IFERROR(VLOOKUP(ExpenseLog[[#This Row],[Project No]],ProjectsList[],3,FALSE),"")</f>
        <v/>
      </c>
      <c r="F230" s="21"/>
      <c r="G230" s="30"/>
      <c r="H230" s="41"/>
      <c r="I230" s="40"/>
      <c r="J230" s="43"/>
      <c r="K230" s="30"/>
      <c r="L230" s="39">
        <f>ExpenseLog[[#This Row],[Rate]]*ExpenseLog[[#This Row],[Qty]]</f>
        <v>0</v>
      </c>
    </row>
    <row r="231" spans="2:12" ht="19.5" customHeight="1" x14ac:dyDescent="0.25">
      <c r="B231" s="27"/>
      <c r="C231" s="28"/>
      <c r="D231" s="29" t="str">
        <f>IFERROR(VLOOKUP(ExpenseLog[[#This Row],[Project No]],ProjectsList[],2,FALSE),"")</f>
        <v/>
      </c>
      <c r="E231" s="29" t="str">
        <f>IFERROR(VLOOKUP(ExpenseLog[[#This Row],[Project No]],ProjectsList[],3,FALSE),"")</f>
        <v/>
      </c>
      <c r="F231" s="21"/>
      <c r="G231" s="30"/>
      <c r="H231" s="41"/>
      <c r="I231" s="40"/>
      <c r="J231" s="43"/>
      <c r="K231" s="30"/>
      <c r="L231" s="39">
        <f>ExpenseLog[[#This Row],[Rate]]*ExpenseLog[[#This Row],[Qty]]</f>
        <v>0</v>
      </c>
    </row>
    <row r="232" spans="2:12" ht="19.5" customHeight="1" x14ac:dyDescent="0.25">
      <c r="B232" s="27"/>
      <c r="C232" s="28"/>
      <c r="D232" s="29" t="str">
        <f>IFERROR(VLOOKUP(ExpenseLog[[#This Row],[Project No]],ProjectsList[],2,FALSE),"")</f>
        <v/>
      </c>
      <c r="E232" s="29" t="str">
        <f>IFERROR(VLOOKUP(ExpenseLog[[#This Row],[Project No]],ProjectsList[],3,FALSE),"")</f>
        <v/>
      </c>
      <c r="F232" s="21"/>
      <c r="G232" s="30"/>
      <c r="H232" s="41"/>
      <c r="I232" s="40"/>
      <c r="J232" s="43"/>
      <c r="K232" s="30"/>
      <c r="L232" s="39">
        <f>ExpenseLog[[#This Row],[Rate]]*ExpenseLog[[#This Row],[Qty]]</f>
        <v>0</v>
      </c>
    </row>
    <row r="233" spans="2:12" ht="19.5" customHeight="1" x14ac:dyDescent="0.25">
      <c r="B233" s="27"/>
      <c r="C233" s="28"/>
      <c r="D233" s="29" t="str">
        <f>IFERROR(VLOOKUP(ExpenseLog[[#This Row],[Project No]],ProjectsList[],2,FALSE),"")</f>
        <v/>
      </c>
      <c r="E233" s="29" t="str">
        <f>IFERROR(VLOOKUP(ExpenseLog[[#This Row],[Project No]],ProjectsList[],3,FALSE),"")</f>
        <v/>
      </c>
      <c r="F233" s="21"/>
      <c r="G233" s="30"/>
      <c r="H233" s="41"/>
      <c r="I233" s="40"/>
      <c r="J233" s="43"/>
      <c r="K233" s="30"/>
      <c r="L233" s="39">
        <f>ExpenseLog[[#This Row],[Rate]]*ExpenseLog[[#This Row],[Qty]]</f>
        <v>0</v>
      </c>
    </row>
    <row r="234" spans="2:12" ht="19.5" customHeight="1" x14ac:dyDescent="0.25">
      <c r="B234" s="27"/>
      <c r="C234" s="28"/>
      <c r="D234" s="29" t="str">
        <f>IFERROR(VLOOKUP(ExpenseLog[[#This Row],[Project No]],ProjectsList[],2,FALSE),"")</f>
        <v/>
      </c>
      <c r="E234" s="29" t="str">
        <f>IFERROR(VLOOKUP(ExpenseLog[[#This Row],[Project No]],ProjectsList[],3,FALSE),"")</f>
        <v/>
      </c>
      <c r="F234" s="21"/>
      <c r="G234" s="30"/>
      <c r="H234" s="41"/>
      <c r="I234" s="40"/>
      <c r="J234" s="43"/>
      <c r="K234" s="30"/>
      <c r="L234" s="39">
        <f>ExpenseLog[[#This Row],[Rate]]*ExpenseLog[[#This Row],[Qty]]</f>
        <v>0</v>
      </c>
    </row>
    <row r="235" spans="2:12" ht="19.5" customHeight="1" x14ac:dyDescent="0.25">
      <c r="B235" s="27"/>
      <c r="C235" s="28"/>
      <c r="D235" s="29" t="str">
        <f>IFERROR(VLOOKUP(ExpenseLog[[#This Row],[Project No]],ProjectsList[],2,FALSE),"")</f>
        <v/>
      </c>
      <c r="E235" s="29" t="str">
        <f>IFERROR(VLOOKUP(ExpenseLog[[#This Row],[Project No]],ProjectsList[],3,FALSE),"")</f>
        <v/>
      </c>
      <c r="F235" s="21"/>
      <c r="G235" s="30"/>
      <c r="H235" s="41"/>
      <c r="I235" s="40"/>
      <c r="J235" s="43"/>
      <c r="K235" s="30"/>
      <c r="L235" s="39">
        <f>ExpenseLog[[#This Row],[Rate]]*ExpenseLog[[#This Row],[Qty]]</f>
        <v>0</v>
      </c>
    </row>
    <row r="236" spans="2:12" ht="19.5" customHeight="1" x14ac:dyDescent="0.25">
      <c r="B236" s="27"/>
      <c r="C236" s="28"/>
      <c r="D236" s="29" t="str">
        <f>IFERROR(VLOOKUP(ExpenseLog[[#This Row],[Project No]],ProjectsList[],2,FALSE),"")</f>
        <v/>
      </c>
      <c r="E236" s="29" t="str">
        <f>IFERROR(VLOOKUP(ExpenseLog[[#This Row],[Project No]],ProjectsList[],3,FALSE),"")</f>
        <v/>
      </c>
      <c r="F236" s="21"/>
      <c r="G236" s="30"/>
      <c r="H236" s="41"/>
      <c r="I236" s="40"/>
      <c r="J236" s="43"/>
      <c r="K236" s="30"/>
      <c r="L236" s="39">
        <f>ExpenseLog[[#This Row],[Rate]]*ExpenseLog[[#This Row],[Qty]]</f>
        <v>0</v>
      </c>
    </row>
    <row r="237" spans="2:12" ht="19.5" customHeight="1" x14ac:dyDescent="0.25">
      <c r="B237" s="27"/>
      <c r="C237" s="28"/>
      <c r="D237" s="29" t="str">
        <f>IFERROR(VLOOKUP(ExpenseLog[[#This Row],[Project No]],ProjectsList[],2,FALSE),"")</f>
        <v/>
      </c>
      <c r="E237" s="29" t="str">
        <f>IFERROR(VLOOKUP(ExpenseLog[[#This Row],[Project No]],ProjectsList[],3,FALSE),"")</f>
        <v/>
      </c>
      <c r="F237" s="21"/>
      <c r="G237" s="30"/>
      <c r="H237" s="41"/>
      <c r="I237" s="40"/>
      <c r="J237" s="43"/>
      <c r="K237" s="30"/>
      <c r="L237" s="39">
        <f>ExpenseLog[[#This Row],[Rate]]*ExpenseLog[[#This Row],[Qty]]</f>
        <v>0</v>
      </c>
    </row>
    <row r="238" spans="2:12" ht="19.5" customHeight="1" x14ac:dyDescent="0.25">
      <c r="B238" s="27"/>
      <c r="C238" s="28"/>
      <c r="D238" s="29" t="str">
        <f>IFERROR(VLOOKUP(ExpenseLog[[#This Row],[Project No]],ProjectsList[],2,FALSE),"")</f>
        <v/>
      </c>
      <c r="E238" s="29" t="str">
        <f>IFERROR(VLOOKUP(ExpenseLog[[#This Row],[Project No]],ProjectsList[],3,FALSE),"")</f>
        <v/>
      </c>
      <c r="F238" s="21"/>
      <c r="G238" s="30"/>
      <c r="H238" s="41"/>
      <c r="I238" s="40"/>
      <c r="J238" s="43"/>
      <c r="K238" s="30"/>
      <c r="L238" s="39">
        <f>ExpenseLog[[#This Row],[Rate]]*ExpenseLog[[#This Row],[Qty]]</f>
        <v>0</v>
      </c>
    </row>
    <row r="239" spans="2:12" ht="19.5" customHeight="1" x14ac:dyDescent="0.25">
      <c r="B239" s="27"/>
      <c r="C239" s="28"/>
      <c r="D239" s="29" t="str">
        <f>IFERROR(VLOOKUP(ExpenseLog[[#This Row],[Project No]],ProjectsList[],2,FALSE),"")</f>
        <v/>
      </c>
      <c r="E239" s="29" t="str">
        <f>IFERROR(VLOOKUP(ExpenseLog[[#This Row],[Project No]],ProjectsList[],3,FALSE),"")</f>
        <v/>
      </c>
      <c r="F239" s="21"/>
      <c r="G239" s="30"/>
      <c r="H239" s="41"/>
      <c r="I239" s="40"/>
      <c r="J239" s="43"/>
      <c r="K239" s="30"/>
      <c r="L239" s="39">
        <f>ExpenseLog[[#This Row],[Rate]]*ExpenseLog[[#This Row],[Qty]]</f>
        <v>0</v>
      </c>
    </row>
    <row r="240" spans="2:12" ht="19.5" customHeight="1" x14ac:dyDescent="0.25">
      <c r="B240" s="27"/>
      <c r="C240" s="28"/>
      <c r="D240" s="29" t="str">
        <f>IFERROR(VLOOKUP(ExpenseLog[[#This Row],[Project No]],ProjectsList[],2,FALSE),"")</f>
        <v/>
      </c>
      <c r="E240" s="29" t="str">
        <f>IFERROR(VLOOKUP(ExpenseLog[[#This Row],[Project No]],ProjectsList[],3,FALSE),"")</f>
        <v/>
      </c>
      <c r="F240" s="21"/>
      <c r="G240" s="30"/>
      <c r="H240" s="41"/>
      <c r="I240" s="40"/>
      <c r="J240" s="43"/>
      <c r="K240" s="30"/>
      <c r="L240" s="39">
        <f>ExpenseLog[[#This Row],[Rate]]*ExpenseLog[[#This Row],[Qty]]</f>
        <v>0</v>
      </c>
    </row>
    <row r="241" spans="2:12" ht="19.5" customHeight="1" x14ac:dyDescent="0.25">
      <c r="B241" s="27"/>
      <c r="C241" s="28"/>
      <c r="D241" s="29" t="str">
        <f>IFERROR(VLOOKUP(ExpenseLog[[#This Row],[Project No]],ProjectsList[],2,FALSE),"")</f>
        <v/>
      </c>
      <c r="E241" s="29" t="str">
        <f>IFERROR(VLOOKUP(ExpenseLog[[#This Row],[Project No]],ProjectsList[],3,FALSE),"")</f>
        <v/>
      </c>
      <c r="F241" s="21"/>
      <c r="G241" s="30"/>
      <c r="H241" s="41"/>
      <c r="I241" s="40"/>
      <c r="J241" s="43"/>
      <c r="K241" s="30"/>
      <c r="L241" s="39">
        <f>ExpenseLog[[#This Row],[Rate]]*ExpenseLog[[#This Row],[Qty]]</f>
        <v>0</v>
      </c>
    </row>
    <row r="242" spans="2:12" ht="19.5" customHeight="1" x14ac:dyDescent="0.25">
      <c r="B242" s="27"/>
      <c r="C242" s="28"/>
      <c r="D242" s="29" t="str">
        <f>IFERROR(VLOOKUP(ExpenseLog[[#This Row],[Project No]],ProjectsList[],2,FALSE),"")</f>
        <v/>
      </c>
      <c r="E242" s="29" t="str">
        <f>IFERROR(VLOOKUP(ExpenseLog[[#This Row],[Project No]],ProjectsList[],3,FALSE),"")</f>
        <v/>
      </c>
      <c r="F242" s="21"/>
      <c r="G242" s="30"/>
      <c r="H242" s="41"/>
      <c r="I242" s="40"/>
      <c r="J242" s="43"/>
      <c r="K242" s="30"/>
      <c r="L242" s="39">
        <f>ExpenseLog[[#This Row],[Rate]]*ExpenseLog[[#This Row],[Qty]]</f>
        <v>0</v>
      </c>
    </row>
    <row r="243" spans="2:12" ht="19.5" customHeight="1" x14ac:dyDescent="0.25">
      <c r="B243" s="27"/>
      <c r="C243" s="28"/>
      <c r="D243" s="29" t="str">
        <f>IFERROR(VLOOKUP(ExpenseLog[[#This Row],[Project No]],ProjectsList[],2,FALSE),"")</f>
        <v/>
      </c>
      <c r="E243" s="29" t="str">
        <f>IFERROR(VLOOKUP(ExpenseLog[[#This Row],[Project No]],ProjectsList[],3,FALSE),"")</f>
        <v/>
      </c>
      <c r="F243" s="21"/>
      <c r="G243" s="30"/>
      <c r="H243" s="41"/>
      <c r="I243" s="40"/>
      <c r="J243" s="43"/>
      <c r="K243" s="30"/>
      <c r="L243" s="39">
        <f>ExpenseLog[[#This Row],[Rate]]*ExpenseLog[[#This Row],[Qty]]</f>
        <v>0</v>
      </c>
    </row>
    <row r="244" spans="2:12" ht="19.5" customHeight="1" x14ac:dyDescent="0.25">
      <c r="B244" s="27"/>
      <c r="C244" s="28"/>
      <c r="D244" s="29" t="str">
        <f>IFERROR(VLOOKUP(ExpenseLog[[#This Row],[Project No]],ProjectsList[],2,FALSE),"")</f>
        <v/>
      </c>
      <c r="E244" s="29" t="str">
        <f>IFERROR(VLOOKUP(ExpenseLog[[#This Row],[Project No]],ProjectsList[],3,FALSE),"")</f>
        <v/>
      </c>
      <c r="F244" s="21"/>
      <c r="G244" s="30"/>
      <c r="H244" s="41"/>
      <c r="I244" s="40"/>
      <c r="J244" s="43"/>
      <c r="K244" s="30"/>
      <c r="L244" s="39">
        <f>ExpenseLog[[#This Row],[Rate]]*ExpenseLog[[#This Row],[Qty]]</f>
        <v>0</v>
      </c>
    </row>
    <row r="245" spans="2:12" ht="19.5" customHeight="1" x14ac:dyDescent="0.25">
      <c r="B245" s="27"/>
      <c r="C245" s="28"/>
      <c r="D245" s="29" t="str">
        <f>IFERROR(VLOOKUP(ExpenseLog[[#This Row],[Project No]],ProjectsList[],2,FALSE),"")</f>
        <v/>
      </c>
      <c r="E245" s="29" t="str">
        <f>IFERROR(VLOOKUP(ExpenseLog[[#This Row],[Project No]],ProjectsList[],3,FALSE),"")</f>
        <v/>
      </c>
      <c r="F245" s="21"/>
      <c r="G245" s="30"/>
      <c r="H245" s="41"/>
      <c r="I245" s="40"/>
      <c r="J245" s="43"/>
      <c r="K245" s="30"/>
      <c r="L245" s="39">
        <f>ExpenseLog[[#This Row],[Rate]]*ExpenseLog[[#This Row],[Qty]]</f>
        <v>0</v>
      </c>
    </row>
    <row r="246" spans="2:12" ht="19.5" customHeight="1" x14ac:dyDescent="0.25">
      <c r="B246" s="27"/>
      <c r="C246" s="28"/>
      <c r="D246" s="29" t="str">
        <f>IFERROR(VLOOKUP(ExpenseLog[[#This Row],[Project No]],ProjectsList[],2,FALSE),"")</f>
        <v/>
      </c>
      <c r="E246" s="29" t="str">
        <f>IFERROR(VLOOKUP(ExpenseLog[[#This Row],[Project No]],ProjectsList[],3,FALSE),"")</f>
        <v/>
      </c>
      <c r="F246" s="21"/>
      <c r="G246" s="30"/>
      <c r="H246" s="41"/>
      <c r="I246" s="40"/>
      <c r="J246" s="43"/>
      <c r="K246" s="30"/>
      <c r="L246" s="39">
        <f>ExpenseLog[[#This Row],[Rate]]*ExpenseLog[[#This Row],[Qty]]</f>
        <v>0</v>
      </c>
    </row>
    <row r="247" spans="2:12" ht="19.5" customHeight="1" x14ac:dyDescent="0.25">
      <c r="B247" s="27"/>
      <c r="C247" s="28"/>
      <c r="D247" s="29" t="str">
        <f>IFERROR(VLOOKUP(ExpenseLog[[#This Row],[Project No]],ProjectsList[],2,FALSE),"")</f>
        <v/>
      </c>
      <c r="E247" s="29" t="str">
        <f>IFERROR(VLOOKUP(ExpenseLog[[#This Row],[Project No]],ProjectsList[],3,FALSE),"")</f>
        <v/>
      </c>
      <c r="F247" s="21"/>
      <c r="G247" s="30"/>
      <c r="H247" s="41"/>
      <c r="I247" s="40"/>
      <c r="J247" s="43"/>
      <c r="K247" s="30"/>
      <c r="L247" s="39">
        <f>ExpenseLog[[#This Row],[Rate]]*ExpenseLog[[#This Row],[Qty]]</f>
        <v>0</v>
      </c>
    </row>
    <row r="248" spans="2:12" ht="19.5" customHeight="1" x14ac:dyDescent="0.25">
      <c r="B248" s="27"/>
      <c r="C248" s="28"/>
      <c r="D248" s="29" t="str">
        <f>IFERROR(VLOOKUP(ExpenseLog[[#This Row],[Project No]],ProjectsList[],2,FALSE),"")</f>
        <v/>
      </c>
      <c r="E248" s="29" t="str">
        <f>IFERROR(VLOOKUP(ExpenseLog[[#This Row],[Project No]],ProjectsList[],3,FALSE),"")</f>
        <v/>
      </c>
      <c r="F248" s="21"/>
      <c r="G248" s="30"/>
      <c r="H248" s="41"/>
      <c r="I248" s="40"/>
      <c r="J248" s="43"/>
      <c r="K248" s="30"/>
      <c r="L248" s="39">
        <f>ExpenseLog[[#This Row],[Rate]]*ExpenseLog[[#This Row],[Qty]]</f>
        <v>0</v>
      </c>
    </row>
    <row r="249" spans="2:12" ht="19.5" customHeight="1" x14ac:dyDescent="0.25">
      <c r="B249" s="27"/>
      <c r="C249" s="28"/>
      <c r="D249" s="29" t="str">
        <f>IFERROR(VLOOKUP(ExpenseLog[[#This Row],[Project No]],ProjectsList[],2,FALSE),"")</f>
        <v/>
      </c>
      <c r="E249" s="29" t="str">
        <f>IFERROR(VLOOKUP(ExpenseLog[[#This Row],[Project No]],ProjectsList[],3,FALSE),"")</f>
        <v/>
      </c>
      <c r="F249" s="21"/>
      <c r="G249" s="30"/>
      <c r="H249" s="41"/>
      <c r="I249" s="40"/>
      <c r="J249" s="43"/>
      <c r="K249" s="30"/>
      <c r="L249" s="39">
        <f>ExpenseLog[[#This Row],[Rate]]*ExpenseLog[[#This Row],[Qty]]</f>
        <v>0</v>
      </c>
    </row>
    <row r="250" spans="2:12" ht="19.5" customHeight="1" x14ac:dyDescent="0.25">
      <c r="B250" s="27"/>
      <c r="C250" s="28"/>
      <c r="D250" s="29" t="str">
        <f>IFERROR(VLOOKUP(ExpenseLog[[#This Row],[Project No]],ProjectsList[],2,FALSE),"")</f>
        <v/>
      </c>
      <c r="E250" s="29" t="str">
        <f>IFERROR(VLOOKUP(ExpenseLog[[#This Row],[Project No]],ProjectsList[],3,FALSE),"")</f>
        <v/>
      </c>
      <c r="F250" s="21"/>
      <c r="G250" s="30"/>
      <c r="H250" s="41"/>
      <c r="I250" s="40"/>
      <c r="J250" s="43"/>
      <c r="K250" s="30"/>
      <c r="L250" s="39">
        <f>ExpenseLog[[#This Row],[Rate]]*ExpenseLog[[#This Row],[Qty]]</f>
        <v>0</v>
      </c>
    </row>
    <row r="251" spans="2:12" ht="19.5" customHeight="1" x14ac:dyDescent="0.25">
      <c r="B251" s="27"/>
      <c r="C251" s="28"/>
      <c r="D251" s="29" t="str">
        <f>IFERROR(VLOOKUP(ExpenseLog[[#This Row],[Project No]],ProjectsList[],2,FALSE),"")</f>
        <v/>
      </c>
      <c r="E251" s="29" t="str">
        <f>IFERROR(VLOOKUP(ExpenseLog[[#This Row],[Project No]],ProjectsList[],3,FALSE),"")</f>
        <v/>
      </c>
      <c r="F251" s="21"/>
      <c r="G251" s="30"/>
      <c r="H251" s="41"/>
      <c r="I251" s="40"/>
      <c r="J251" s="43"/>
      <c r="K251" s="30"/>
      <c r="L251" s="39">
        <f>ExpenseLog[[#This Row],[Rate]]*ExpenseLog[[#This Row],[Qty]]</f>
        <v>0</v>
      </c>
    </row>
    <row r="252" spans="2:12" ht="19.5" customHeight="1" x14ac:dyDescent="0.25">
      <c r="B252" s="27"/>
      <c r="C252" s="28"/>
      <c r="D252" s="29" t="str">
        <f>IFERROR(VLOOKUP(ExpenseLog[[#This Row],[Project No]],ProjectsList[],2,FALSE),"")</f>
        <v/>
      </c>
      <c r="E252" s="29" t="str">
        <f>IFERROR(VLOOKUP(ExpenseLog[[#This Row],[Project No]],ProjectsList[],3,FALSE),"")</f>
        <v/>
      </c>
      <c r="F252" s="21"/>
      <c r="G252" s="30"/>
      <c r="H252" s="41"/>
      <c r="I252" s="40"/>
      <c r="J252" s="43"/>
      <c r="K252" s="30"/>
      <c r="L252" s="39">
        <f>ExpenseLog[[#This Row],[Rate]]*ExpenseLog[[#This Row],[Qty]]</f>
        <v>0</v>
      </c>
    </row>
    <row r="253" spans="2:12" ht="19.5" customHeight="1" x14ac:dyDescent="0.25">
      <c r="B253" s="27"/>
      <c r="C253" s="28"/>
      <c r="D253" s="29" t="str">
        <f>IFERROR(VLOOKUP(ExpenseLog[[#This Row],[Project No]],ProjectsList[],2,FALSE),"")</f>
        <v/>
      </c>
      <c r="E253" s="29" t="str">
        <f>IFERROR(VLOOKUP(ExpenseLog[[#This Row],[Project No]],ProjectsList[],3,FALSE),"")</f>
        <v/>
      </c>
      <c r="F253" s="21"/>
      <c r="G253" s="30"/>
      <c r="H253" s="41"/>
      <c r="I253" s="40"/>
      <c r="J253" s="43"/>
      <c r="K253" s="30"/>
      <c r="L253" s="39">
        <f>ExpenseLog[[#This Row],[Rate]]*ExpenseLog[[#This Row],[Qty]]</f>
        <v>0</v>
      </c>
    </row>
    <row r="254" spans="2:12" ht="19.5" customHeight="1" x14ac:dyDescent="0.25">
      <c r="B254" s="27"/>
      <c r="C254" s="28"/>
      <c r="D254" s="29" t="str">
        <f>IFERROR(VLOOKUP(ExpenseLog[[#This Row],[Project No]],ProjectsList[],2,FALSE),"")</f>
        <v/>
      </c>
      <c r="E254" s="29" t="str">
        <f>IFERROR(VLOOKUP(ExpenseLog[[#This Row],[Project No]],ProjectsList[],3,FALSE),"")</f>
        <v/>
      </c>
      <c r="F254" s="21"/>
      <c r="G254" s="30"/>
      <c r="H254" s="41"/>
      <c r="I254" s="40"/>
      <c r="J254" s="43"/>
      <c r="K254" s="30"/>
      <c r="L254" s="39">
        <f>ExpenseLog[[#This Row],[Rate]]*ExpenseLog[[#This Row],[Qty]]</f>
        <v>0</v>
      </c>
    </row>
    <row r="255" spans="2:12" ht="19.5" customHeight="1" x14ac:dyDescent="0.25">
      <c r="B255" s="27"/>
      <c r="C255" s="28"/>
      <c r="D255" s="29" t="str">
        <f>IFERROR(VLOOKUP(ExpenseLog[[#This Row],[Project No]],ProjectsList[],2,FALSE),"")</f>
        <v/>
      </c>
      <c r="E255" s="29" t="str">
        <f>IFERROR(VLOOKUP(ExpenseLog[[#This Row],[Project No]],ProjectsList[],3,FALSE),"")</f>
        <v/>
      </c>
      <c r="F255" s="21"/>
      <c r="G255" s="30"/>
      <c r="H255" s="41"/>
      <c r="I255" s="40"/>
      <c r="J255" s="43"/>
      <c r="K255" s="30"/>
      <c r="L255" s="39">
        <f>ExpenseLog[[#This Row],[Rate]]*ExpenseLog[[#This Row],[Qty]]</f>
        <v>0</v>
      </c>
    </row>
    <row r="256" spans="2:12" ht="19.5" customHeight="1" x14ac:dyDescent="0.25">
      <c r="B256" s="27"/>
      <c r="C256" s="28"/>
      <c r="D256" s="29" t="str">
        <f>IFERROR(VLOOKUP(ExpenseLog[[#This Row],[Project No]],ProjectsList[],2,FALSE),"")</f>
        <v/>
      </c>
      <c r="E256" s="29" t="str">
        <f>IFERROR(VLOOKUP(ExpenseLog[[#This Row],[Project No]],ProjectsList[],3,FALSE),"")</f>
        <v/>
      </c>
      <c r="F256" s="21"/>
      <c r="G256" s="30"/>
      <c r="H256" s="41"/>
      <c r="I256" s="40"/>
      <c r="J256" s="43"/>
      <c r="K256" s="30"/>
      <c r="L256" s="39">
        <f>ExpenseLog[[#This Row],[Rate]]*ExpenseLog[[#This Row],[Qty]]</f>
        <v>0</v>
      </c>
    </row>
    <row r="257" spans="2:12" ht="19.5" customHeight="1" x14ac:dyDescent="0.25">
      <c r="B257" s="27"/>
      <c r="C257" s="28"/>
      <c r="D257" s="29" t="str">
        <f>IFERROR(VLOOKUP(ExpenseLog[[#This Row],[Project No]],ProjectsList[],2,FALSE),"")</f>
        <v/>
      </c>
      <c r="E257" s="29" t="str">
        <f>IFERROR(VLOOKUP(ExpenseLog[[#This Row],[Project No]],ProjectsList[],3,FALSE),"")</f>
        <v/>
      </c>
      <c r="F257" s="21"/>
      <c r="G257" s="30"/>
      <c r="H257" s="41"/>
      <c r="I257" s="40"/>
      <c r="J257" s="43"/>
      <c r="K257" s="30"/>
      <c r="L257" s="39">
        <f>ExpenseLog[[#This Row],[Rate]]*ExpenseLog[[#This Row],[Qty]]</f>
        <v>0</v>
      </c>
    </row>
    <row r="258" spans="2:12" ht="19.5" customHeight="1" x14ac:dyDescent="0.25">
      <c r="B258" s="27"/>
      <c r="C258" s="28"/>
      <c r="D258" s="29" t="str">
        <f>IFERROR(VLOOKUP(ExpenseLog[[#This Row],[Project No]],ProjectsList[],2,FALSE),"")</f>
        <v/>
      </c>
      <c r="E258" s="29" t="str">
        <f>IFERROR(VLOOKUP(ExpenseLog[[#This Row],[Project No]],ProjectsList[],3,FALSE),"")</f>
        <v/>
      </c>
      <c r="F258" s="21"/>
      <c r="G258" s="30"/>
      <c r="H258" s="41"/>
      <c r="I258" s="40"/>
      <c r="J258" s="43"/>
      <c r="K258" s="30"/>
      <c r="L258" s="39">
        <f>ExpenseLog[[#This Row],[Rate]]*ExpenseLog[[#This Row],[Qty]]</f>
        <v>0</v>
      </c>
    </row>
    <row r="259" spans="2:12" ht="19.5" customHeight="1" x14ac:dyDescent="0.25">
      <c r="B259" s="27"/>
      <c r="C259" s="28"/>
      <c r="D259" s="29" t="str">
        <f>IFERROR(VLOOKUP(ExpenseLog[[#This Row],[Project No]],ProjectsList[],2,FALSE),"")</f>
        <v/>
      </c>
      <c r="E259" s="29" t="str">
        <f>IFERROR(VLOOKUP(ExpenseLog[[#This Row],[Project No]],ProjectsList[],3,FALSE),"")</f>
        <v/>
      </c>
      <c r="F259" s="21"/>
      <c r="G259" s="30"/>
      <c r="H259" s="41"/>
      <c r="I259" s="40"/>
      <c r="J259" s="43"/>
      <c r="K259" s="30"/>
      <c r="L259" s="39">
        <f>ExpenseLog[[#This Row],[Rate]]*ExpenseLog[[#This Row],[Qty]]</f>
        <v>0</v>
      </c>
    </row>
    <row r="260" spans="2:12" ht="19.5" customHeight="1" x14ac:dyDescent="0.25">
      <c r="B260" s="27"/>
      <c r="C260" s="28"/>
      <c r="D260" s="29" t="str">
        <f>IFERROR(VLOOKUP(ExpenseLog[[#This Row],[Project No]],ProjectsList[],2,FALSE),"")</f>
        <v/>
      </c>
      <c r="E260" s="29" t="str">
        <f>IFERROR(VLOOKUP(ExpenseLog[[#This Row],[Project No]],ProjectsList[],3,FALSE),"")</f>
        <v/>
      </c>
      <c r="F260" s="21"/>
      <c r="G260" s="30"/>
      <c r="H260" s="41"/>
      <c r="I260" s="40"/>
      <c r="J260" s="43"/>
      <c r="K260" s="30"/>
      <c r="L260" s="39">
        <f>ExpenseLog[[#This Row],[Rate]]*ExpenseLog[[#This Row],[Qty]]</f>
        <v>0</v>
      </c>
    </row>
    <row r="261" spans="2:12" ht="19.5" customHeight="1" x14ac:dyDescent="0.25">
      <c r="B261" s="27"/>
      <c r="C261" s="28"/>
      <c r="D261" s="29" t="str">
        <f>IFERROR(VLOOKUP(ExpenseLog[[#This Row],[Project No]],ProjectsList[],2,FALSE),"")</f>
        <v/>
      </c>
      <c r="E261" s="29" t="str">
        <f>IFERROR(VLOOKUP(ExpenseLog[[#This Row],[Project No]],ProjectsList[],3,FALSE),"")</f>
        <v/>
      </c>
      <c r="F261" s="21"/>
      <c r="G261" s="30"/>
      <c r="H261" s="41"/>
      <c r="I261" s="40"/>
      <c r="J261" s="43"/>
      <c r="K261" s="30"/>
      <c r="L261" s="39">
        <f>ExpenseLog[[#This Row],[Rate]]*ExpenseLog[[#This Row],[Qty]]</f>
        <v>0</v>
      </c>
    </row>
    <row r="262" spans="2:12" ht="19.5" customHeight="1" x14ac:dyDescent="0.25">
      <c r="B262" s="27"/>
      <c r="C262" s="28"/>
      <c r="D262" s="29" t="str">
        <f>IFERROR(VLOOKUP(ExpenseLog[[#This Row],[Project No]],ProjectsList[],2,FALSE),"")</f>
        <v/>
      </c>
      <c r="E262" s="29" t="str">
        <f>IFERROR(VLOOKUP(ExpenseLog[[#This Row],[Project No]],ProjectsList[],3,FALSE),"")</f>
        <v/>
      </c>
      <c r="F262" s="21"/>
      <c r="G262" s="30"/>
      <c r="H262" s="41"/>
      <c r="I262" s="40"/>
      <c r="J262" s="43"/>
      <c r="K262" s="30"/>
      <c r="L262" s="39">
        <f>ExpenseLog[[#This Row],[Rate]]*ExpenseLog[[#This Row],[Qty]]</f>
        <v>0</v>
      </c>
    </row>
    <row r="263" spans="2:12" ht="19.5" customHeight="1" x14ac:dyDescent="0.25">
      <c r="B263" s="27"/>
      <c r="C263" s="28"/>
      <c r="D263" s="29" t="str">
        <f>IFERROR(VLOOKUP(ExpenseLog[[#This Row],[Project No]],ProjectsList[],2,FALSE),"")</f>
        <v/>
      </c>
      <c r="E263" s="29" t="str">
        <f>IFERROR(VLOOKUP(ExpenseLog[[#This Row],[Project No]],ProjectsList[],3,FALSE),"")</f>
        <v/>
      </c>
      <c r="F263" s="21"/>
      <c r="G263" s="30"/>
      <c r="H263" s="41"/>
      <c r="I263" s="40"/>
      <c r="J263" s="43"/>
      <c r="K263" s="30"/>
      <c r="L263" s="39">
        <f>ExpenseLog[[#This Row],[Rate]]*ExpenseLog[[#This Row],[Qty]]</f>
        <v>0</v>
      </c>
    </row>
    <row r="264" spans="2:12" ht="19.5" customHeight="1" x14ac:dyDescent="0.25">
      <c r="B264" s="27"/>
      <c r="C264" s="28"/>
      <c r="D264" s="29" t="str">
        <f>IFERROR(VLOOKUP(ExpenseLog[[#This Row],[Project No]],ProjectsList[],2,FALSE),"")</f>
        <v/>
      </c>
      <c r="E264" s="29" t="str">
        <f>IFERROR(VLOOKUP(ExpenseLog[[#This Row],[Project No]],ProjectsList[],3,FALSE),"")</f>
        <v/>
      </c>
      <c r="F264" s="21"/>
      <c r="G264" s="30"/>
      <c r="H264" s="41"/>
      <c r="I264" s="40"/>
      <c r="J264" s="43"/>
      <c r="K264" s="30"/>
      <c r="L264" s="39">
        <f>ExpenseLog[[#This Row],[Rate]]*ExpenseLog[[#This Row],[Qty]]</f>
        <v>0</v>
      </c>
    </row>
    <row r="265" spans="2:12" ht="19.5" customHeight="1" x14ac:dyDescent="0.25">
      <c r="B265" s="27"/>
      <c r="C265" s="28"/>
      <c r="D265" s="29" t="str">
        <f>IFERROR(VLOOKUP(ExpenseLog[[#This Row],[Project No]],ProjectsList[],2,FALSE),"")</f>
        <v/>
      </c>
      <c r="E265" s="29" t="str">
        <f>IFERROR(VLOOKUP(ExpenseLog[[#This Row],[Project No]],ProjectsList[],3,FALSE),"")</f>
        <v/>
      </c>
      <c r="F265" s="21"/>
      <c r="G265" s="30"/>
      <c r="H265" s="41"/>
      <c r="I265" s="40"/>
      <c r="J265" s="43"/>
      <c r="K265" s="30"/>
      <c r="L265" s="39">
        <f>ExpenseLog[[#This Row],[Rate]]*ExpenseLog[[#This Row],[Qty]]</f>
        <v>0</v>
      </c>
    </row>
    <row r="266" spans="2:12" ht="19.5" customHeight="1" x14ac:dyDescent="0.25">
      <c r="B266" s="27"/>
      <c r="C266" s="28"/>
      <c r="D266" s="29" t="str">
        <f>IFERROR(VLOOKUP(ExpenseLog[[#This Row],[Project No]],ProjectsList[],2,FALSE),"")</f>
        <v/>
      </c>
      <c r="E266" s="29" t="str">
        <f>IFERROR(VLOOKUP(ExpenseLog[[#This Row],[Project No]],ProjectsList[],3,FALSE),"")</f>
        <v/>
      </c>
      <c r="F266" s="21"/>
      <c r="G266" s="30"/>
      <c r="H266" s="41"/>
      <c r="I266" s="40"/>
      <c r="J266" s="43"/>
      <c r="K266" s="30"/>
      <c r="L266" s="39">
        <f>ExpenseLog[[#This Row],[Rate]]*ExpenseLog[[#This Row],[Qty]]</f>
        <v>0</v>
      </c>
    </row>
    <row r="267" spans="2:12" ht="19.5" customHeight="1" x14ac:dyDescent="0.25">
      <c r="B267" s="27"/>
      <c r="C267" s="28"/>
      <c r="D267" s="29" t="str">
        <f>IFERROR(VLOOKUP(ExpenseLog[[#This Row],[Project No]],ProjectsList[],2,FALSE),"")</f>
        <v/>
      </c>
      <c r="E267" s="29" t="str">
        <f>IFERROR(VLOOKUP(ExpenseLog[[#This Row],[Project No]],ProjectsList[],3,FALSE),"")</f>
        <v/>
      </c>
      <c r="F267" s="21"/>
      <c r="G267" s="30"/>
      <c r="H267" s="41"/>
      <c r="I267" s="40"/>
      <c r="J267" s="43"/>
      <c r="K267" s="30"/>
      <c r="L267" s="39">
        <f>ExpenseLog[[#This Row],[Rate]]*ExpenseLog[[#This Row],[Qty]]</f>
        <v>0</v>
      </c>
    </row>
    <row r="268" spans="2:12" ht="19.5" customHeight="1" x14ac:dyDescent="0.25">
      <c r="B268" s="27"/>
      <c r="C268" s="28"/>
      <c r="D268" s="29" t="str">
        <f>IFERROR(VLOOKUP(ExpenseLog[[#This Row],[Project No]],ProjectsList[],2,FALSE),"")</f>
        <v/>
      </c>
      <c r="E268" s="29" t="str">
        <f>IFERROR(VLOOKUP(ExpenseLog[[#This Row],[Project No]],ProjectsList[],3,FALSE),"")</f>
        <v/>
      </c>
      <c r="F268" s="21"/>
      <c r="G268" s="30"/>
      <c r="H268" s="41"/>
      <c r="I268" s="40"/>
      <c r="J268" s="43"/>
      <c r="K268" s="30"/>
      <c r="L268" s="39">
        <f>ExpenseLog[[#This Row],[Rate]]*ExpenseLog[[#This Row],[Qty]]</f>
        <v>0</v>
      </c>
    </row>
    <row r="269" spans="2:12" ht="19.5" customHeight="1" x14ac:dyDescent="0.25">
      <c r="B269" s="27"/>
      <c r="C269" s="28"/>
      <c r="D269" s="29" t="str">
        <f>IFERROR(VLOOKUP(ExpenseLog[[#This Row],[Project No]],ProjectsList[],2,FALSE),"")</f>
        <v/>
      </c>
      <c r="E269" s="29" t="str">
        <f>IFERROR(VLOOKUP(ExpenseLog[[#This Row],[Project No]],ProjectsList[],3,FALSE),"")</f>
        <v/>
      </c>
      <c r="F269" s="21"/>
      <c r="G269" s="30"/>
      <c r="H269" s="41"/>
      <c r="I269" s="40"/>
      <c r="J269" s="43"/>
      <c r="K269" s="30"/>
      <c r="L269" s="39">
        <f>ExpenseLog[[#This Row],[Rate]]*ExpenseLog[[#This Row],[Qty]]</f>
        <v>0</v>
      </c>
    </row>
    <row r="270" spans="2:12" ht="19.5" customHeight="1" x14ac:dyDescent="0.25">
      <c r="B270" s="27"/>
      <c r="C270" s="28"/>
      <c r="D270" s="29" t="str">
        <f>IFERROR(VLOOKUP(ExpenseLog[[#This Row],[Project No]],ProjectsList[],2,FALSE),"")</f>
        <v/>
      </c>
      <c r="E270" s="29" t="str">
        <f>IFERROR(VLOOKUP(ExpenseLog[[#This Row],[Project No]],ProjectsList[],3,FALSE),"")</f>
        <v/>
      </c>
      <c r="F270" s="21"/>
      <c r="G270" s="30"/>
      <c r="H270" s="41"/>
      <c r="I270" s="40"/>
      <c r="J270" s="43"/>
      <c r="K270" s="30"/>
      <c r="L270" s="39">
        <f>ExpenseLog[[#This Row],[Rate]]*ExpenseLog[[#This Row],[Qty]]</f>
        <v>0</v>
      </c>
    </row>
    <row r="271" spans="2:12" ht="19.5" customHeight="1" x14ac:dyDescent="0.25">
      <c r="B271" s="27"/>
      <c r="C271" s="28"/>
      <c r="D271" s="29" t="str">
        <f>IFERROR(VLOOKUP(ExpenseLog[[#This Row],[Project No]],ProjectsList[],2,FALSE),"")</f>
        <v/>
      </c>
      <c r="E271" s="29" t="str">
        <f>IFERROR(VLOOKUP(ExpenseLog[[#This Row],[Project No]],ProjectsList[],3,FALSE),"")</f>
        <v/>
      </c>
      <c r="F271" s="21"/>
      <c r="G271" s="30"/>
      <c r="H271" s="41"/>
      <c r="I271" s="40"/>
      <c r="J271" s="43"/>
      <c r="K271" s="30"/>
      <c r="L271" s="39">
        <f>ExpenseLog[[#This Row],[Rate]]*ExpenseLog[[#This Row],[Qty]]</f>
        <v>0</v>
      </c>
    </row>
    <row r="272" spans="2:12" ht="19.5" customHeight="1" x14ac:dyDescent="0.25">
      <c r="B272" s="27"/>
      <c r="C272" s="28"/>
      <c r="D272" s="29" t="str">
        <f>IFERROR(VLOOKUP(ExpenseLog[[#This Row],[Project No]],ProjectsList[],2,FALSE),"")</f>
        <v/>
      </c>
      <c r="E272" s="29" t="str">
        <f>IFERROR(VLOOKUP(ExpenseLog[[#This Row],[Project No]],ProjectsList[],3,FALSE),"")</f>
        <v/>
      </c>
      <c r="F272" s="21"/>
      <c r="G272" s="30"/>
      <c r="H272" s="41"/>
      <c r="I272" s="40"/>
      <c r="J272" s="43"/>
      <c r="K272" s="30"/>
      <c r="L272" s="39">
        <f>ExpenseLog[[#This Row],[Rate]]*ExpenseLog[[#This Row],[Qty]]</f>
        <v>0</v>
      </c>
    </row>
    <row r="273" spans="2:12" ht="19.5" customHeight="1" x14ac:dyDescent="0.25">
      <c r="B273" s="27"/>
      <c r="C273" s="28"/>
      <c r="D273" s="29" t="str">
        <f>IFERROR(VLOOKUP(ExpenseLog[[#This Row],[Project No]],ProjectsList[],2,FALSE),"")</f>
        <v/>
      </c>
      <c r="E273" s="29" t="str">
        <f>IFERROR(VLOOKUP(ExpenseLog[[#This Row],[Project No]],ProjectsList[],3,FALSE),"")</f>
        <v/>
      </c>
      <c r="F273" s="21"/>
      <c r="G273" s="30"/>
      <c r="H273" s="41"/>
      <c r="I273" s="40"/>
      <c r="J273" s="43"/>
      <c r="K273" s="30"/>
      <c r="L273" s="39">
        <f>ExpenseLog[[#This Row],[Rate]]*ExpenseLog[[#This Row],[Qty]]</f>
        <v>0</v>
      </c>
    </row>
    <row r="274" spans="2:12" ht="19.5" customHeight="1" x14ac:dyDescent="0.25">
      <c r="B274" s="27"/>
      <c r="C274" s="28"/>
      <c r="D274" s="29" t="str">
        <f>IFERROR(VLOOKUP(ExpenseLog[[#This Row],[Project No]],ProjectsList[],2,FALSE),"")</f>
        <v/>
      </c>
      <c r="E274" s="29" t="str">
        <f>IFERROR(VLOOKUP(ExpenseLog[[#This Row],[Project No]],ProjectsList[],3,FALSE),"")</f>
        <v/>
      </c>
      <c r="F274" s="21"/>
      <c r="G274" s="30"/>
      <c r="H274" s="41"/>
      <c r="I274" s="40"/>
      <c r="J274" s="43"/>
      <c r="K274" s="30"/>
      <c r="L274" s="39">
        <f>ExpenseLog[[#This Row],[Rate]]*ExpenseLog[[#This Row],[Qty]]</f>
        <v>0</v>
      </c>
    </row>
    <row r="275" spans="2:12" ht="19.5" customHeight="1" x14ac:dyDescent="0.25">
      <c r="B275" s="27"/>
      <c r="C275" s="28"/>
      <c r="D275" s="29" t="str">
        <f>IFERROR(VLOOKUP(ExpenseLog[[#This Row],[Project No]],ProjectsList[],2,FALSE),"")</f>
        <v/>
      </c>
      <c r="E275" s="29" t="str">
        <f>IFERROR(VLOOKUP(ExpenseLog[[#This Row],[Project No]],ProjectsList[],3,FALSE),"")</f>
        <v/>
      </c>
      <c r="F275" s="21"/>
      <c r="G275" s="30"/>
      <c r="H275" s="41"/>
      <c r="I275" s="40"/>
      <c r="J275" s="43"/>
      <c r="K275" s="30"/>
      <c r="L275" s="39">
        <f>ExpenseLog[[#This Row],[Rate]]*ExpenseLog[[#This Row],[Qty]]</f>
        <v>0</v>
      </c>
    </row>
    <row r="276" spans="2:12" ht="19.5" customHeight="1" x14ac:dyDescent="0.25">
      <c r="B276" s="27"/>
      <c r="C276" s="28"/>
      <c r="D276" s="29" t="str">
        <f>IFERROR(VLOOKUP(ExpenseLog[[#This Row],[Project No]],ProjectsList[],2,FALSE),"")</f>
        <v/>
      </c>
      <c r="E276" s="29" t="str">
        <f>IFERROR(VLOOKUP(ExpenseLog[[#This Row],[Project No]],ProjectsList[],3,FALSE),"")</f>
        <v/>
      </c>
      <c r="F276" s="21"/>
      <c r="G276" s="30"/>
      <c r="H276" s="41"/>
      <c r="I276" s="40"/>
      <c r="J276" s="43"/>
      <c r="K276" s="30"/>
      <c r="L276" s="39">
        <f>ExpenseLog[[#This Row],[Rate]]*ExpenseLog[[#This Row],[Qty]]</f>
        <v>0</v>
      </c>
    </row>
    <row r="277" spans="2:12" ht="19.5" customHeight="1" x14ac:dyDescent="0.25">
      <c r="B277" s="27"/>
      <c r="C277" s="28"/>
      <c r="D277" s="29" t="str">
        <f>IFERROR(VLOOKUP(ExpenseLog[[#This Row],[Project No]],ProjectsList[],2,FALSE),"")</f>
        <v/>
      </c>
      <c r="E277" s="29" t="str">
        <f>IFERROR(VLOOKUP(ExpenseLog[[#This Row],[Project No]],ProjectsList[],3,FALSE),"")</f>
        <v/>
      </c>
      <c r="F277" s="21"/>
      <c r="G277" s="30"/>
      <c r="H277" s="41"/>
      <c r="I277" s="40"/>
      <c r="J277" s="43"/>
      <c r="K277" s="30"/>
      <c r="L277" s="39">
        <f>ExpenseLog[[#This Row],[Rate]]*ExpenseLog[[#This Row],[Qty]]</f>
        <v>0</v>
      </c>
    </row>
    <row r="278" spans="2:12" ht="19.5" customHeight="1" x14ac:dyDescent="0.25">
      <c r="B278" s="27"/>
      <c r="C278" s="28"/>
      <c r="D278" s="29" t="str">
        <f>IFERROR(VLOOKUP(ExpenseLog[[#This Row],[Project No]],ProjectsList[],2,FALSE),"")</f>
        <v/>
      </c>
      <c r="E278" s="29" t="str">
        <f>IFERROR(VLOOKUP(ExpenseLog[[#This Row],[Project No]],ProjectsList[],3,FALSE),"")</f>
        <v/>
      </c>
      <c r="F278" s="21"/>
      <c r="G278" s="30"/>
      <c r="H278" s="41"/>
      <c r="I278" s="40"/>
      <c r="J278" s="43"/>
      <c r="K278" s="30"/>
      <c r="L278" s="39">
        <f>ExpenseLog[[#This Row],[Rate]]*ExpenseLog[[#This Row],[Qty]]</f>
        <v>0</v>
      </c>
    </row>
    <row r="279" spans="2:12" ht="19.5" customHeight="1" x14ac:dyDescent="0.25">
      <c r="B279" s="27"/>
      <c r="C279" s="28"/>
      <c r="D279" s="29" t="str">
        <f>IFERROR(VLOOKUP(ExpenseLog[[#This Row],[Project No]],ProjectsList[],2,FALSE),"")</f>
        <v/>
      </c>
      <c r="E279" s="29" t="str">
        <f>IFERROR(VLOOKUP(ExpenseLog[[#This Row],[Project No]],ProjectsList[],3,FALSE),"")</f>
        <v/>
      </c>
      <c r="F279" s="21"/>
      <c r="G279" s="30"/>
      <c r="H279" s="41"/>
      <c r="I279" s="40"/>
      <c r="J279" s="43"/>
      <c r="K279" s="30"/>
      <c r="L279" s="39">
        <f>ExpenseLog[[#This Row],[Rate]]*ExpenseLog[[#This Row],[Qty]]</f>
        <v>0</v>
      </c>
    </row>
    <row r="280" spans="2:12" ht="19.5" customHeight="1" x14ac:dyDescent="0.25">
      <c r="B280" s="27"/>
      <c r="C280" s="28"/>
      <c r="D280" s="29" t="str">
        <f>IFERROR(VLOOKUP(ExpenseLog[[#This Row],[Project No]],ProjectsList[],2,FALSE),"")</f>
        <v/>
      </c>
      <c r="E280" s="29" t="str">
        <f>IFERROR(VLOOKUP(ExpenseLog[[#This Row],[Project No]],ProjectsList[],3,FALSE),"")</f>
        <v/>
      </c>
      <c r="F280" s="21"/>
      <c r="G280" s="30"/>
      <c r="H280" s="41"/>
      <c r="I280" s="40"/>
      <c r="J280" s="43"/>
      <c r="K280" s="30"/>
      <c r="L280" s="39">
        <f>ExpenseLog[[#This Row],[Rate]]*ExpenseLog[[#This Row],[Qty]]</f>
        <v>0</v>
      </c>
    </row>
    <row r="281" spans="2:12" ht="19.5" customHeight="1" x14ac:dyDescent="0.25">
      <c r="B281" s="27"/>
      <c r="C281" s="28"/>
      <c r="D281" s="29" t="str">
        <f>IFERROR(VLOOKUP(ExpenseLog[[#This Row],[Project No]],ProjectsList[],2,FALSE),"")</f>
        <v/>
      </c>
      <c r="E281" s="29" t="str">
        <f>IFERROR(VLOOKUP(ExpenseLog[[#This Row],[Project No]],ProjectsList[],3,FALSE),"")</f>
        <v/>
      </c>
      <c r="F281" s="21"/>
      <c r="G281" s="30"/>
      <c r="H281" s="41"/>
      <c r="I281" s="40"/>
      <c r="J281" s="43"/>
      <c r="K281" s="30"/>
      <c r="L281" s="39">
        <f>ExpenseLog[[#This Row],[Rate]]*ExpenseLog[[#This Row],[Qty]]</f>
        <v>0</v>
      </c>
    </row>
    <row r="282" spans="2:12" ht="19.5" customHeight="1" x14ac:dyDescent="0.25">
      <c r="B282" s="27"/>
      <c r="C282" s="28"/>
      <c r="D282" s="29" t="str">
        <f>IFERROR(VLOOKUP(ExpenseLog[[#This Row],[Project No]],ProjectsList[],2,FALSE),"")</f>
        <v/>
      </c>
      <c r="E282" s="29" t="str">
        <f>IFERROR(VLOOKUP(ExpenseLog[[#This Row],[Project No]],ProjectsList[],3,FALSE),"")</f>
        <v/>
      </c>
      <c r="F282" s="21"/>
      <c r="G282" s="30"/>
      <c r="H282" s="41"/>
      <c r="I282" s="40"/>
      <c r="J282" s="43"/>
      <c r="K282" s="30"/>
      <c r="L282" s="39">
        <f>ExpenseLog[[#This Row],[Rate]]*ExpenseLog[[#This Row],[Qty]]</f>
        <v>0</v>
      </c>
    </row>
    <row r="283" spans="2:12" ht="19.5" customHeight="1" x14ac:dyDescent="0.25">
      <c r="B283" s="27"/>
      <c r="C283" s="28"/>
      <c r="D283" s="29" t="str">
        <f>IFERROR(VLOOKUP(ExpenseLog[[#This Row],[Project No]],ProjectsList[],2,FALSE),"")</f>
        <v/>
      </c>
      <c r="E283" s="29" t="str">
        <f>IFERROR(VLOOKUP(ExpenseLog[[#This Row],[Project No]],ProjectsList[],3,FALSE),"")</f>
        <v/>
      </c>
      <c r="F283" s="21"/>
      <c r="G283" s="30"/>
      <c r="H283" s="41"/>
      <c r="I283" s="40"/>
      <c r="J283" s="43"/>
      <c r="K283" s="30"/>
      <c r="L283" s="39">
        <f>ExpenseLog[[#This Row],[Rate]]*ExpenseLog[[#This Row],[Qty]]</f>
        <v>0</v>
      </c>
    </row>
    <row r="284" spans="2:12" ht="19.5" customHeight="1" x14ac:dyDescent="0.25">
      <c r="B284" s="27"/>
      <c r="C284" s="28"/>
      <c r="D284" s="29" t="str">
        <f>IFERROR(VLOOKUP(ExpenseLog[[#This Row],[Project No]],ProjectsList[],2,FALSE),"")</f>
        <v/>
      </c>
      <c r="E284" s="29" t="str">
        <f>IFERROR(VLOOKUP(ExpenseLog[[#This Row],[Project No]],ProjectsList[],3,FALSE),"")</f>
        <v/>
      </c>
      <c r="F284" s="21"/>
      <c r="G284" s="30"/>
      <c r="H284" s="41"/>
      <c r="I284" s="40"/>
      <c r="J284" s="43"/>
      <c r="K284" s="30"/>
      <c r="L284" s="39">
        <f>ExpenseLog[[#This Row],[Rate]]*ExpenseLog[[#This Row],[Qty]]</f>
        <v>0</v>
      </c>
    </row>
    <row r="285" spans="2:12" ht="19.5" customHeight="1" x14ac:dyDescent="0.25">
      <c r="B285" s="27"/>
      <c r="C285" s="28"/>
      <c r="D285" s="29" t="str">
        <f>IFERROR(VLOOKUP(ExpenseLog[[#This Row],[Project No]],ProjectsList[],2,FALSE),"")</f>
        <v/>
      </c>
      <c r="E285" s="29" t="str">
        <f>IFERROR(VLOOKUP(ExpenseLog[[#This Row],[Project No]],ProjectsList[],3,FALSE),"")</f>
        <v/>
      </c>
      <c r="F285" s="21"/>
      <c r="G285" s="30"/>
      <c r="H285" s="41"/>
      <c r="I285" s="40"/>
      <c r="J285" s="43"/>
      <c r="K285" s="30"/>
      <c r="L285" s="39">
        <f>ExpenseLog[[#This Row],[Rate]]*ExpenseLog[[#This Row],[Qty]]</f>
        <v>0</v>
      </c>
    </row>
    <row r="286" spans="2:12" ht="19.5" customHeight="1" x14ac:dyDescent="0.25">
      <c r="B286" s="27"/>
      <c r="C286" s="28"/>
      <c r="D286" s="29" t="str">
        <f>IFERROR(VLOOKUP(ExpenseLog[[#This Row],[Project No]],ProjectsList[],2,FALSE),"")</f>
        <v/>
      </c>
      <c r="E286" s="29" t="str">
        <f>IFERROR(VLOOKUP(ExpenseLog[[#This Row],[Project No]],ProjectsList[],3,FALSE),"")</f>
        <v/>
      </c>
      <c r="F286" s="21"/>
      <c r="G286" s="30"/>
      <c r="H286" s="41"/>
      <c r="I286" s="40"/>
      <c r="J286" s="43"/>
      <c r="K286" s="30"/>
      <c r="L286" s="39">
        <f>ExpenseLog[[#This Row],[Rate]]*ExpenseLog[[#This Row],[Qty]]</f>
        <v>0</v>
      </c>
    </row>
    <row r="287" spans="2:12" ht="19.5" customHeight="1" x14ac:dyDescent="0.25">
      <c r="B287" s="27"/>
      <c r="C287" s="28"/>
      <c r="D287" s="29" t="str">
        <f>IFERROR(VLOOKUP(ExpenseLog[[#This Row],[Project No]],ProjectsList[],2,FALSE),"")</f>
        <v/>
      </c>
      <c r="E287" s="29" t="str">
        <f>IFERROR(VLOOKUP(ExpenseLog[[#This Row],[Project No]],ProjectsList[],3,FALSE),"")</f>
        <v/>
      </c>
      <c r="F287" s="21"/>
      <c r="G287" s="30"/>
      <c r="H287" s="41"/>
      <c r="I287" s="40"/>
      <c r="J287" s="43"/>
      <c r="K287" s="30"/>
      <c r="L287" s="39">
        <f>ExpenseLog[[#This Row],[Rate]]*ExpenseLog[[#This Row],[Qty]]</f>
        <v>0</v>
      </c>
    </row>
    <row r="288" spans="2:12" ht="19.5" customHeight="1" x14ac:dyDescent="0.25">
      <c r="B288" s="27"/>
      <c r="C288" s="28"/>
      <c r="D288" s="29" t="str">
        <f>IFERROR(VLOOKUP(ExpenseLog[[#This Row],[Project No]],ProjectsList[],2,FALSE),"")</f>
        <v/>
      </c>
      <c r="E288" s="29" t="str">
        <f>IFERROR(VLOOKUP(ExpenseLog[[#This Row],[Project No]],ProjectsList[],3,FALSE),"")</f>
        <v/>
      </c>
      <c r="F288" s="21"/>
      <c r="G288" s="30"/>
      <c r="H288" s="41"/>
      <c r="I288" s="40"/>
      <c r="J288" s="43"/>
      <c r="K288" s="30"/>
      <c r="L288" s="39">
        <f>ExpenseLog[[#This Row],[Rate]]*ExpenseLog[[#This Row],[Qty]]</f>
        <v>0</v>
      </c>
    </row>
    <row r="289" spans="2:12" ht="19.5" customHeight="1" x14ac:dyDescent="0.25">
      <c r="B289" s="27"/>
      <c r="C289" s="28"/>
      <c r="D289" s="29" t="str">
        <f>IFERROR(VLOOKUP(ExpenseLog[[#This Row],[Project No]],ProjectsList[],2,FALSE),"")</f>
        <v/>
      </c>
      <c r="E289" s="29" t="str">
        <f>IFERROR(VLOOKUP(ExpenseLog[[#This Row],[Project No]],ProjectsList[],3,FALSE),"")</f>
        <v/>
      </c>
      <c r="F289" s="21"/>
      <c r="G289" s="30"/>
      <c r="H289" s="41"/>
      <c r="I289" s="40"/>
      <c r="J289" s="43"/>
      <c r="K289" s="30"/>
      <c r="L289" s="39">
        <f>ExpenseLog[[#This Row],[Rate]]*ExpenseLog[[#This Row],[Qty]]</f>
        <v>0</v>
      </c>
    </row>
    <row r="290" spans="2:12" ht="19.5" customHeight="1" x14ac:dyDescent="0.25">
      <c r="B290" s="27"/>
      <c r="C290" s="28"/>
      <c r="D290" s="29" t="str">
        <f>IFERROR(VLOOKUP(ExpenseLog[[#This Row],[Project No]],ProjectsList[],2,FALSE),"")</f>
        <v/>
      </c>
      <c r="E290" s="29" t="str">
        <f>IFERROR(VLOOKUP(ExpenseLog[[#This Row],[Project No]],ProjectsList[],3,FALSE),"")</f>
        <v/>
      </c>
      <c r="F290" s="21"/>
      <c r="G290" s="30"/>
      <c r="H290" s="41"/>
      <c r="I290" s="40"/>
      <c r="J290" s="43"/>
      <c r="K290" s="30"/>
      <c r="L290" s="39">
        <f>ExpenseLog[[#This Row],[Rate]]*ExpenseLog[[#This Row],[Qty]]</f>
        <v>0</v>
      </c>
    </row>
    <row r="291" spans="2:12" ht="19.5" customHeight="1" x14ac:dyDescent="0.25">
      <c r="B291" s="27"/>
      <c r="C291" s="28"/>
      <c r="D291" s="29" t="str">
        <f>IFERROR(VLOOKUP(ExpenseLog[[#This Row],[Project No]],ProjectsList[],2,FALSE),"")</f>
        <v/>
      </c>
      <c r="E291" s="29" t="str">
        <f>IFERROR(VLOOKUP(ExpenseLog[[#This Row],[Project No]],ProjectsList[],3,FALSE),"")</f>
        <v/>
      </c>
      <c r="F291" s="21"/>
      <c r="G291" s="30"/>
      <c r="H291" s="41"/>
      <c r="I291" s="40"/>
      <c r="J291" s="43"/>
      <c r="K291" s="30"/>
      <c r="L291" s="39">
        <f>ExpenseLog[[#This Row],[Rate]]*ExpenseLog[[#This Row],[Qty]]</f>
        <v>0</v>
      </c>
    </row>
    <row r="292" spans="2:12" ht="19.5" customHeight="1" x14ac:dyDescent="0.25">
      <c r="B292" s="27"/>
      <c r="C292" s="28"/>
      <c r="D292" s="29" t="str">
        <f>IFERROR(VLOOKUP(ExpenseLog[[#This Row],[Project No]],ProjectsList[],2,FALSE),"")</f>
        <v/>
      </c>
      <c r="E292" s="29" t="str">
        <f>IFERROR(VLOOKUP(ExpenseLog[[#This Row],[Project No]],ProjectsList[],3,FALSE),"")</f>
        <v/>
      </c>
      <c r="F292" s="21"/>
      <c r="G292" s="30"/>
      <c r="H292" s="41"/>
      <c r="I292" s="40"/>
      <c r="J292" s="43"/>
      <c r="K292" s="30"/>
      <c r="L292" s="39">
        <f>ExpenseLog[[#This Row],[Rate]]*ExpenseLog[[#This Row],[Qty]]</f>
        <v>0</v>
      </c>
    </row>
    <row r="293" spans="2:12" ht="19.5" customHeight="1" x14ac:dyDescent="0.25">
      <c r="B293" s="27"/>
      <c r="C293" s="28"/>
      <c r="D293" s="29" t="str">
        <f>IFERROR(VLOOKUP(ExpenseLog[[#This Row],[Project No]],ProjectsList[],2,FALSE),"")</f>
        <v/>
      </c>
      <c r="E293" s="29" t="str">
        <f>IFERROR(VLOOKUP(ExpenseLog[[#This Row],[Project No]],ProjectsList[],3,FALSE),"")</f>
        <v/>
      </c>
      <c r="F293" s="21"/>
      <c r="G293" s="30"/>
      <c r="H293" s="41"/>
      <c r="I293" s="40"/>
      <c r="J293" s="43"/>
      <c r="K293" s="30"/>
      <c r="L293" s="39">
        <f>ExpenseLog[[#This Row],[Rate]]*ExpenseLog[[#This Row],[Qty]]</f>
        <v>0</v>
      </c>
    </row>
    <row r="294" spans="2:12" ht="19.5" customHeight="1" x14ac:dyDescent="0.25">
      <c r="B294" s="27"/>
      <c r="C294" s="28"/>
      <c r="D294" s="29" t="str">
        <f>IFERROR(VLOOKUP(ExpenseLog[[#This Row],[Project No]],ProjectsList[],2,FALSE),"")</f>
        <v/>
      </c>
      <c r="E294" s="29" t="str">
        <f>IFERROR(VLOOKUP(ExpenseLog[[#This Row],[Project No]],ProjectsList[],3,FALSE),"")</f>
        <v/>
      </c>
      <c r="F294" s="21"/>
      <c r="G294" s="30"/>
      <c r="H294" s="41"/>
      <c r="I294" s="40"/>
      <c r="J294" s="43"/>
      <c r="K294" s="30"/>
      <c r="L294" s="39">
        <f>ExpenseLog[[#This Row],[Rate]]*ExpenseLog[[#This Row],[Qty]]</f>
        <v>0</v>
      </c>
    </row>
    <row r="295" spans="2:12" ht="19.5" customHeight="1" x14ac:dyDescent="0.25">
      <c r="B295" s="27"/>
      <c r="C295" s="28"/>
      <c r="D295" s="29" t="str">
        <f>IFERROR(VLOOKUP(ExpenseLog[[#This Row],[Project No]],ProjectsList[],2,FALSE),"")</f>
        <v/>
      </c>
      <c r="E295" s="29" t="str">
        <f>IFERROR(VLOOKUP(ExpenseLog[[#This Row],[Project No]],ProjectsList[],3,FALSE),"")</f>
        <v/>
      </c>
      <c r="F295" s="21"/>
      <c r="G295" s="30"/>
      <c r="H295" s="41"/>
      <c r="I295" s="40"/>
      <c r="J295" s="43"/>
      <c r="K295" s="30"/>
      <c r="L295" s="39">
        <f>ExpenseLog[[#This Row],[Rate]]*ExpenseLog[[#This Row],[Qty]]</f>
        <v>0</v>
      </c>
    </row>
    <row r="296" spans="2:12" ht="19.5" customHeight="1" x14ac:dyDescent="0.25">
      <c r="B296" s="27"/>
      <c r="C296" s="28"/>
      <c r="D296" s="29" t="str">
        <f>IFERROR(VLOOKUP(ExpenseLog[[#This Row],[Project No]],ProjectsList[],2,FALSE),"")</f>
        <v/>
      </c>
      <c r="E296" s="29" t="str">
        <f>IFERROR(VLOOKUP(ExpenseLog[[#This Row],[Project No]],ProjectsList[],3,FALSE),"")</f>
        <v/>
      </c>
      <c r="F296" s="21"/>
      <c r="G296" s="30"/>
      <c r="H296" s="41"/>
      <c r="I296" s="40"/>
      <c r="J296" s="43"/>
      <c r="K296" s="30"/>
      <c r="L296" s="39">
        <f>ExpenseLog[[#This Row],[Rate]]*ExpenseLog[[#This Row],[Qty]]</f>
        <v>0</v>
      </c>
    </row>
    <row r="297" spans="2:12" ht="19.5" customHeight="1" x14ac:dyDescent="0.25">
      <c r="B297" s="27"/>
      <c r="C297" s="28"/>
      <c r="D297" s="29" t="str">
        <f>IFERROR(VLOOKUP(ExpenseLog[[#This Row],[Project No]],ProjectsList[],2,FALSE),"")</f>
        <v/>
      </c>
      <c r="E297" s="29" t="str">
        <f>IFERROR(VLOOKUP(ExpenseLog[[#This Row],[Project No]],ProjectsList[],3,FALSE),"")</f>
        <v/>
      </c>
      <c r="F297" s="21"/>
      <c r="G297" s="30"/>
      <c r="H297" s="41"/>
      <c r="I297" s="40"/>
      <c r="J297" s="43"/>
      <c r="K297" s="30"/>
      <c r="L297" s="39">
        <f>ExpenseLog[[#This Row],[Rate]]*ExpenseLog[[#This Row],[Qty]]</f>
        <v>0</v>
      </c>
    </row>
    <row r="298" spans="2:12" ht="19.5" customHeight="1" x14ac:dyDescent="0.25">
      <c r="B298" s="27"/>
      <c r="C298" s="28"/>
      <c r="D298" s="29" t="str">
        <f>IFERROR(VLOOKUP(ExpenseLog[[#This Row],[Project No]],ProjectsList[],2,FALSE),"")</f>
        <v/>
      </c>
      <c r="E298" s="29" t="str">
        <f>IFERROR(VLOOKUP(ExpenseLog[[#This Row],[Project No]],ProjectsList[],3,FALSE),"")</f>
        <v/>
      </c>
      <c r="F298" s="21"/>
      <c r="G298" s="30"/>
      <c r="H298" s="41"/>
      <c r="I298" s="40"/>
      <c r="J298" s="43"/>
      <c r="K298" s="30"/>
      <c r="L298" s="39">
        <f>ExpenseLog[[#This Row],[Rate]]*ExpenseLog[[#This Row],[Qty]]</f>
        <v>0</v>
      </c>
    </row>
    <row r="299" spans="2:12" ht="19.5" customHeight="1" x14ac:dyDescent="0.25">
      <c r="B299" s="27"/>
      <c r="C299" s="28"/>
      <c r="D299" s="29" t="str">
        <f>IFERROR(VLOOKUP(ExpenseLog[[#This Row],[Project No]],ProjectsList[],2,FALSE),"")</f>
        <v/>
      </c>
      <c r="E299" s="29" t="str">
        <f>IFERROR(VLOOKUP(ExpenseLog[[#This Row],[Project No]],ProjectsList[],3,FALSE),"")</f>
        <v/>
      </c>
      <c r="F299" s="21"/>
      <c r="G299" s="30"/>
      <c r="H299" s="41"/>
      <c r="I299" s="40"/>
      <c r="J299" s="43"/>
      <c r="K299" s="30"/>
      <c r="L299" s="39">
        <f>ExpenseLog[[#This Row],[Rate]]*ExpenseLog[[#This Row],[Qty]]</f>
        <v>0</v>
      </c>
    </row>
    <row r="300" spans="2:12" ht="19.5" customHeight="1" x14ac:dyDescent="0.25">
      <c r="B300" s="27"/>
      <c r="C300" s="28"/>
      <c r="D300" s="29" t="str">
        <f>IFERROR(VLOOKUP(ExpenseLog[[#This Row],[Project No]],ProjectsList[],2,FALSE),"")</f>
        <v/>
      </c>
      <c r="E300" s="29" t="str">
        <f>IFERROR(VLOOKUP(ExpenseLog[[#This Row],[Project No]],ProjectsList[],3,FALSE),"")</f>
        <v/>
      </c>
      <c r="F300" s="21"/>
      <c r="G300" s="30"/>
      <c r="H300" s="41"/>
      <c r="I300" s="40"/>
      <c r="J300" s="43"/>
      <c r="K300" s="30"/>
      <c r="L300" s="39">
        <f>ExpenseLog[[#This Row],[Rate]]*ExpenseLog[[#This Row],[Qty]]</f>
        <v>0</v>
      </c>
    </row>
    <row r="301" spans="2:12" ht="19.5" customHeight="1" x14ac:dyDescent="0.25">
      <c r="B301" s="27"/>
      <c r="C301" s="28"/>
      <c r="D301" s="29" t="str">
        <f>IFERROR(VLOOKUP(ExpenseLog[[#This Row],[Project No]],ProjectsList[],2,FALSE),"")</f>
        <v/>
      </c>
      <c r="E301" s="29" t="str">
        <f>IFERROR(VLOOKUP(ExpenseLog[[#This Row],[Project No]],ProjectsList[],3,FALSE),"")</f>
        <v/>
      </c>
      <c r="F301" s="21"/>
      <c r="G301" s="30"/>
      <c r="H301" s="41"/>
      <c r="I301" s="40"/>
      <c r="J301" s="43"/>
      <c r="K301" s="30"/>
      <c r="L301" s="39">
        <f>ExpenseLog[[#This Row],[Rate]]*ExpenseLog[[#This Row],[Qty]]</f>
        <v>0</v>
      </c>
    </row>
    <row r="302" spans="2:12" ht="19.5" customHeight="1" x14ac:dyDescent="0.25">
      <c r="B302" s="27"/>
      <c r="C302" s="28"/>
      <c r="D302" s="29" t="str">
        <f>IFERROR(VLOOKUP(ExpenseLog[[#This Row],[Project No]],ProjectsList[],2,FALSE),"")</f>
        <v/>
      </c>
      <c r="E302" s="29" t="str">
        <f>IFERROR(VLOOKUP(ExpenseLog[[#This Row],[Project No]],ProjectsList[],3,FALSE),"")</f>
        <v/>
      </c>
      <c r="F302" s="21"/>
      <c r="G302" s="30"/>
      <c r="H302" s="41"/>
      <c r="I302" s="40"/>
      <c r="J302" s="43"/>
      <c r="K302" s="30"/>
      <c r="L302" s="39">
        <f>ExpenseLog[[#This Row],[Rate]]*ExpenseLog[[#This Row],[Qty]]</f>
        <v>0</v>
      </c>
    </row>
    <row r="303" spans="2:12" ht="19.5" customHeight="1" x14ac:dyDescent="0.25">
      <c r="B303" s="27"/>
      <c r="C303" s="28"/>
      <c r="D303" s="29" t="str">
        <f>IFERROR(VLOOKUP(ExpenseLog[[#This Row],[Project No]],ProjectsList[],2,FALSE),"")</f>
        <v/>
      </c>
      <c r="E303" s="29" t="str">
        <f>IFERROR(VLOOKUP(ExpenseLog[[#This Row],[Project No]],ProjectsList[],3,FALSE),"")</f>
        <v/>
      </c>
      <c r="F303" s="21"/>
      <c r="G303" s="30"/>
      <c r="H303" s="41"/>
      <c r="I303" s="40"/>
      <c r="J303" s="43"/>
      <c r="K303" s="30"/>
      <c r="L303" s="39">
        <f>ExpenseLog[[#This Row],[Rate]]*ExpenseLog[[#This Row],[Qty]]</f>
        <v>0</v>
      </c>
    </row>
    <row r="304" spans="2:12" ht="19.5" customHeight="1" x14ac:dyDescent="0.25">
      <c r="B304" s="27"/>
      <c r="C304" s="28"/>
      <c r="D304" s="29" t="str">
        <f>IFERROR(VLOOKUP(ExpenseLog[[#This Row],[Project No]],ProjectsList[],2,FALSE),"")</f>
        <v/>
      </c>
      <c r="E304" s="29" t="str">
        <f>IFERROR(VLOOKUP(ExpenseLog[[#This Row],[Project No]],ProjectsList[],3,FALSE),"")</f>
        <v/>
      </c>
      <c r="F304" s="21"/>
      <c r="G304" s="30"/>
      <c r="H304" s="41"/>
      <c r="I304" s="40"/>
      <c r="J304" s="43"/>
      <c r="K304" s="30"/>
      <c r="L304" s="39">
        <f>ExpenseLog[[#This Row],[Rate]]*ExpenseLog[[#This Row],[Qty]]</f>
        <v>0</v>
      </c>
    </row>
    <row r="305" spans="2:12" ht="19.5" customHeight="1" x14ac:dyDescent="0.25">
      <c r="B305" s="27"/>
      <c r="C305" s="28"/>
      <c r="D305" s="29" t="str">
        <f>IFERROR(VLOOKUP(ExpenseLog[[#This Row],[Project No]],ProjectsList[],2,FALSE),"")</f>
        <v/>
      </c>
      <c r="E305" s="29" t="str">
        <f>IFERROR(VLOOKUP(ExpenseLog[[#This Row],[Project No]],ProjectsList[],3,FALSE),"")</f>
        <v/>
      </c>
      <c r="F305" s="21"/>
      <c r="G305" s="30"/>
      <c r="H305" s="41"/>
      <c r="I305" s="40"/>
      <c r="J305" s="43"/>
      <c r="K305" s="30"/>
      <c r="L305" s="39">
        <f>ExpenseLog[[#This Row],[Rate]]*ExpenseLog[[#This Row],[Qty]]</f>
        <v>0</v>
      </c>
    </row>
    <row r="306" spans="2:12" ht="19.5" customHeight="1" x14ac:dyDescent="0.25">
      <c r="B306" s="27"/>
      <c r="C306" s="28"/>
      <c r="D306" s="29" t="str">
        <f>IFERROR(VLOOKUP(ExpenseLog[[#This Row],[Project No]],ProjectsList[],2,FALSE),"")</f>
        <v/>
      </c>
      <c r="E306" s="29" t="str">
        <f>IFERROR(VLOOKUP(ExpenseLog[[#This Row],[Project No]],ProjectsList[],3,FALSE),"")</f>
        <v/>
      </c>
      <c r="F306" s="21"/>
      <c r="G306" s="30"/>
      <c r="H306" s="41"/>
      <c r="I306" s="40"/>
      <c r="J306" s="43"/>
      <c r="K306" s="30"/>
      <c r="L306" s="39">
        <f>ExpenseLog[[#This Row],[Rate]]*ExpenseLog[[#This Row],[Qty]]</f>
        <v>0</v>
      </c>
    </row>
    <row r="307" spans="2:12" ht="19.5" customHeight="1" x14ac:dyDescent="0.25">
      <c r="B307" s="27"/>
      <c r="C307" s="28"/>
      <c r="D307" s="29" t="str">
        <f>IFERROR(VLOOKUP(ExpenseLog[[#This Row],[Project No]],ProjectsList[],2,FALSE),"")</f>
        <v/>
      </c>
      <c r="E307" s="29" t="str">
        <f>IFERROR(VLOOKUP(ExpenseLog[[#This Row],[Project No]],ProjectsList[],3,FALSE),"")</f>
        <v/>
      </c>
      <c r="F307" s="21"/>
      <c r="G307" s="30"/>
      <c r="H307" s="41"/>
      <c r="I307" s="40"/>
      <c r="J307" s="43"/>
      <c r="K307" s="30"/>
      <c r="L307" s="39">
        <f>ExpenseLog[[#This Row],[Rate]]*ExpenseLog[[#This Row],[Qty]]</f>
        <v>0</v>
      </c>
    </row>
    <row r="308" spans="2:12" ht="19.5" customHeight="1" x14ac:dyDescent="0.25">
      <c r="B308" s="27"/>
      <c r="C308" s="28"/>
      <c r="D308" s="29" t="str">
        <f>IFERROR(VLOOKUP(ExpenseLog[[#This Row],[Project No]],ProjectsList[],2,FALSE),"")</f>
        <v/>
      </c>
      <c r="E308" s="29" t="str">
        <f>IFERROR(VLOOKUP(ExpenseLog[[#This Row],[Project No]],ProjectsList[],3,FALSE),"")</f>
        <v/>
      </c>
      <c r="F308" s="21"/>
      <c r="G308" s="30"/>
      <c r="H308" s="41"/>
      <c r="I308" s="40"/>
      <c r="J308" s="43"/>
      <c r="K308" s="30"/>
      <c r="L308" s="39">
        <f>ExpenseLog[[#This Row],[Rate]]*ExpenseLog[[#This Row],[Qty]]</f>
        <v>0</v>
      </c>
    </row>
    <row r="309" spans="2:12" ht="19.5" customHeight="1" x14ac:dyDescent="0.25">
      <c r="B309" s="27"/>
      <c r="C309" s="28"/>
      <c r="D309" s="29" t="str">
        <f>IFERROR(VLOOKUP(ExpenseLog[[#This Row],[Project No]],ProjectsList[],2,FALSE),"")</f>
        <v/>
      </c>
      <c r="E309" s="29" t="str">
        <f>IFERROR(VLOOKUP(ExpenseLog[[#This Row],[Project No]],ProjectsList[],3,FALSE),"")</f>
        <v/>
      </c>
      <c r="F309" s="21"/>
      <c r="G309" s="30"/>
      <c r="H309" s="41"/>
      <c r="I309" s="40"/>
      <c r="J309" s="43"/>
      <c r="K309" s="30"/>
      <c r="L309" s="39">
        <f>ExpenseLog[[#This Row],[Rate]]*ExpenseLog[[#This Row],[Qty]]</f>
        <v>0</v>
      </c>
    </row>
    <row r="310" spans="2:12" ht="19.5" customHeight="1" x14ac:dyDescent="0.25">
      <c r="B310" s="27"/>
      <c r="C310" s="28"/>
      <c r="D310" s="29" t="str">
        <f>IFERROR(VLOOKUP(ExpenseLog[[#This Row],[Project No]],ProjectsList[],2,FALSE),"")</f>
        <v/>
      </c>
      <c r="E310" s="29" t="str">
        <f>IFERROR(VLOOKUP(ExpenseLog[[#This Row],[Project No]],ProjectsList[],3,FALSE),"")</f>
        <v/>
      </c>
      <c r="F310" s="21"/>
      <c r="G310" s="30"/>
      <c r="H310" s="41"/>
      <c r="I310" s="40"/>
      <c r="J310" s="43"/>
      <c r="K310" s="30"/>
      <c r="L310" s="39">
        <f>ExpenseLog[[#This Row],[Rate]]*ExpenseLog[[#This Row],[Qty]]</f>
        <v>0</v>
      </c>
    </row>
    <row r="311" spans="2:12" ht="19.5" customHeight="1" x14ac:dyDescent="0.25">
      <c r="B311" s="27"/>
      <c r="C311" s="28"/>
      <c r="D311" s="29" t="str">
        <f>IFERROR(VLOOKUP(ExpenseLog[[#This Row],[Project No]],ProjectsList[],2,FALSE),"")</f>
        <v/>
      </c>
      <c r="E311" s="29" t="str">
        <f>IFERROR(VLOOKUP(ExpenseLog[[#This Row],[Project No]],ProjectsList[],3,FALSE),"")</f>
        <v/>
      </c>
      <c r="F311" s="21"/>
      <c r="G311" s="30"/>
      <c r="H311" s="41"/>
      <c r="I311" s="40"/>
      <c r="J311" s="43"/>
      <c r="K311" s="30"/>
      <c r="L311" s="39">
        <f>ExpenseLog[[#This Row],[Rate]]*ExpenseLog[[#This Row],[Qty]]</f>
        <v>0</v>
      </c>
    </row>
    <row r="312" spans="2:12" ht="19.5" customHeight="1" x14ac:dyDescent="0.25">
      <c r="B312" s="27"/>
      <c r="C312" s="28"/>
      <c r="D312" s="29" t="str">
        <f>IFERROR(VLOOKUP(ExpenseLog[[#This Row],[Project No]],ProjectsList[],2,FALSE),"")</f>
        <v/>
      </c>
      <c r="E312" s="29" t="str">
        <f>IFERROR(VLOOKUP(ExpenseLog[[#This Row],[Project No]],ProjectsList[],3,FALSE),"")</f>
        <v/>
      </c>
      <c r="F312" s="21"/>
      <c r="G312" s="30"/>
      <c r="H312" s="41"/>
      <c r="I312" s="40"/>
      <c r="J312" s="43"/>
      <c r="K312" s="30"/>
      <c r="L312" s="39">
        <f>ExpenseLog[[#This Row],[Rate]]*ExpenseLog[[#This Row],[Qty]]</f>
        <v>0</v>
      </c>
    </row>
    <row r="313" spans="2:12" ht="19.5" customHeight="1" x14ac:dyDescent="0.25">
      <c r="B313" s="27"/>
      <c r="C313" s="28"/>
      <c r="D313" s="29" t="str">
        <f>IFERROR(VLOOKUP(ExpenseLog[[#This Row],[Project No]],ProjectsList[],2,FALSE),"")</f>
        <v/>
      </c>
      <c r="E313" s="29" t="str">
        <f>IFERROR(VLOOKUP(ExpenseLog[[#This Row],[Project No]],ProjectsList[],3,FALSE),"")</f>
        <v/>
      </c>
      <c r="F313" s="21"/>
      <c r="G313" s="30"/>
      <c r="H313" s="41"/>
      <c r="I313" s="40"/>
      <c r="J313" s="43"/>
      <c r="K313" s="30"/>
      <c r="L313" s="39">
        <f>ExpenseLog[[#This Row],[Rate]]*ExpenseLog[[#This Row],[Qty]]</f>
        <v>0</v>
      </c>
    </row>
    <row r="314" spans="2:12" ht="19.5" customHeight="1" x14ac:dyDescent="0.25">
      <c r="B314" s="27"/>
      <c r="C314" s="28"/>
      <c r="D314" s="29" t="str">
        <f>IFERROR(VLOOKUP(ExpenseLog[[#This Row],[Project No]],ProjectsList[],2,FALSE),"")</f>
        <v/>
      </c>
      <c r="E314" s="29" t="str">
        <f>IFERROR(VLOOKUP(ExpenseLog[[#This Row],[Project No]],ProjectsList[],3,FALSE),"")</f>
        <v/>
      </c>
      <c r="F314" s="21"/>
      <c r="G314" s="30"/>
      <c r="H314" s="41"/>
      <c r="I314" s="40"/>
      <c r="J314" s="43"/>
      <c r="K314" s="30"/>
      <c r="L314" s="39">
        <f>ExpenseLog[[#This Row],[Rate]]*ExpenseLog[[#This Row],[Qty]]</f>
        <v>0</v>
      </c>
    </row>
    <row r="315" spans="2:12" ht="33.950000000000003" customHeight="1" x14ac:dyDescent="0.25">
      <c r="B315" s="36" t="s">
        <v>45</v>
      </c>
      <c r="C315" s="38"/>
      <c r="D315" s="38"/>
      <c r="E315" s="38"/>
      <c r="F315" s="36"/>
      <c r="G315" s="37">
        <f>SUBTOTAL(109,ExpenseLog[Qty])</f>
        <v>2620.6</v>
      </c>
      <c r="H315" s="37"/>
      <c r="I315" s="37"/>
      <c r="J315" s="37"/>
      <c r="K315" s="37"/>
      <c r="L315" s="37">
        <f>SUBTOTAL(109,ExpenseLog[Total])</f>
        <v>16835.59</v>
      </c>
    </row>
  </sheetData>
  <sheetProtection formatCells="0" formatColumns="0" formatRows="0" insertRows="0" deleteRows="0" selectLockedCells="1" sort="0" autoFilter="0" pivotTables="0"/>
  <dataValidations count="3">
    <dataValidation type="list" allowBlank="1" showInputMessage="1" showErrorMessage="1" sqref="C4:C314" xr:uid="{3063D508-CB14-40BD-B255-570232EBDF8F}">
      <formula1>ProjectLookup</formula1>
    </dataValidation>
    <dataValidation type="list" allowBlank="1" showInputMessage="1" showErrorMessage="1" sqref="I4:I314" xr:uid="{D05C02F3-BA5E-4D15-A2EA-D3EC114D9363}">
      <formula1>"Y,N"</formula1>
    </dataValidation>
    <dataValidation type="list" allowBlank="1" showInputMessage="1" showErrorMessage="1" sqref="H4:H314" xr:uid="{BE5E802C-6F3F-4829-B3D7-742B91F14CED}">
      <formula1>"Materials,Lodging,Airfare,Mileage,Perdiem,Rental Car,Gas,Parking,Tolls,Meals,Entertainment,Gifts,Freight,Misc."</formula1>
    </dataValidation>
  </dataValidations>
  <printOptions horizontalCentered="1"/>
  <pageMargins left="0.25" right="0.25" top="0.75" bottom="0.75" header="0.3" footer="0.3"/>
  <pageSetup scale="49" fitToHeight="0" orientation="landscape" r:id="rId1"/>
  <headerFooter differentFirst="1">
    <oddFooter>Page &amp;P of &amp;N</oddFooter>
  </headerFooter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052D5-8A32-429A-B70C-5CDE0794F41B}">
  <sheetPr>
    <pageSetUpPr fitToPage="1"/>
  </sheetPr>
  <dimension ref="A1:Q127"/>
  <sheetViews>
    <sheetView tabSelected="1" zoomScale="110" zoomScaleNormal="110" workbookViewId="0">
      <pane xSplit="1" ySplit="2" topLeftCell="B59" activePane="bottomRight" state="frozen"/>
      <selection pane="topRight" activeCell="B1" sqref="B1"/>
      <selection pane="bottomLeft" activeCell="A3" sqref="A3"/>
      <selection pane="bottomRight" activeCell="A72" sqref="A72"/>
    </sheetView>
  </sheetViews>
  <sheetFormatPr defaultRowHeight="15" x14ac:dyDescent="0.25"/>
  <cols>
    <col min="1" max="1" width="18.28515625" customWidth="1"/>
    <col min="2" max="2" width="13.5703125" customWidth="1"/>
    <col min="3" max="3" width="47" customWidth="1"/>
    <col min="4" max="4" width="4.42578125" customWidth="1"/>
    <col min="5" max="5" width="20.42578125" customWidth="1"/>
    <col min="6" max="6" width="18.28515625" customWidth="1"/>
    <col min="7" max="7" width="20.42578125" customWidth="1"/>
    <col min="8" max="8" width="16.5703125" customWidth="1"/>
    <col min="9" max="9" width="18.140625" customWidth="1"/>
    <col min="10" max="10" width="4.7109375" customWidth="1"/>
    <col min="11" max="11" width="12.5703125" customWidth="1"/>
    <col min="12" max="12" width="11.28515625" customWidth="1"/>
    <col min="13" max="13" width="12.5703125" customWidth="1"/>
    <col min="14" max="14" width="12.85546875" customWidth="1"/>
    <col min="15" max="15" width="33.42578125" customWidth="1"/>
    <col min="16" max="17" width="11" bestFit="1" customWidth="1"/>
  </cols>
  <sheetData>
    <row r="1" spans="1:17" ht="52.5" customHeight="1" x14ac:dyDescent="0.25">
      <c r="A1" s="134" t="s">
        <v>118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</row>
    <row r="2" spans="1:17" ht="34.5" customHeight="1" thickBot="1" x14ac:dyDescent="0.3">
      <c r="A2" s="68" t="s">
        <v>119</v>
      </c>
      <c r="B2" s="68" t="s">
        <v>184</v>
      </c>
      <c r="C2" s="66" t="s">
        <v>187</v>
      </c>
      <c r="D2" s="67" t="s">
        <v>180</v>
      </c>
      <c r="E2" s="67" t="s">
        <v>73</v>
      </c>
      <c r="F2" s="67" t="s">
        <v>74</v>
      </c>
      <c r="G2" s="67" t="s">
        <v>75</v>
      </c>
      <c r="H2" s="67" t="s">
        <v>188</v>
      </c>
      <c r="I2" s="67" t="s">
        <v>186</v>
      </c>
      <c r="J2" s="67" t="s">
        <v>181</v>
      </c>
      <c r="K2" s="67" t="s">
        <v>185</v>
      </c>
      <c r="L2" s="67" t="s">
        <v>182</v>
      </c>
      <c r="M2" s="67" t="s">
        <v>179</v>
      </c>
      <c r="N2" s="67" t="s">
        <v>117</v>
      </c>
      <c r="O2" s="67" t="s">
        <v>183</v>
      </c>
      <c r="P2" s="67" t="s">
        <v>223</v>
      </c>
    </row>
    <row r="3" spans="1:17" ht="15.75" thickTop="1" x14ac:dyDescent="0.25">
      <c r="B3" s="69">
        <v>45345</v>
      </c>
      <c r="C3" t="s">
        <v>76</v>
      </c>
      <c r="D3" s="44"/>
      <c r="E3" s="44">
        <v>0</v>
      </c>
      <c r="F3" s="44">
        <v>0</v>
      </c>
      <c r="G3" s="44">
        <v>-40000</v>
      </c>
      <c r="H3" s="46">
        <f>IncomeTracking[[#This Row],[Miscellaneous Exp.]]+IncomeTracking[[#This Row],[Travel Expenses]]+IncomeTracking[[#This Row],[Consulting Amount]]</f>
        <v>-40000</v>
      </c>
      <c r="I3" s="46">
        <f>IncomeTracking[[#This Row],[Total Invoice]]</f>
        <v>-40000</v>
      </c>
      <c r="N3" s="48"/>
    </row>
    <row r="4" spans="1:17" x14ac:dyDescent="0.25">
      <c r="A4" t="s">
        <v>77</v>
      </c>
      <c r="B4" s="69">
        <v>45345</v>
      </c>
      <c r="C4" t="str">
        <f>IFERROR(VLOOKUP((VALUE(MID(A4,4,3))),ProjectsList[],3,FALSE),"")</f>
        <v>LCRA - Fayette Power Project - Unit 2</v>
      </c>
      <c r="D4" s="44"/>
      <c r="E4" s="44">
        <v>3795</v>
      </c>
      <c r="F4" s="44">
        <v>1470.17</v>
      </c>
      <c r="G4" s="44">
        <v>0</v>
      </c>
      <c r="H4" s="46">
        <f>IncomeTracking[[#This Row],[Miscellaneous Exp.]]+IncomeTracking[[#This Row],[Travel Expenses]]+IncomeTracking[[#This Row],[Consulting Amount]]</f>
        <v>5265.17</v>
      </c>
      <c r="I4" s="46" cm="1">
        <f t="array" ref="I4">INDEX(IncomeTracking[Running Balance], (ROW()-3))+IncomeTracking[[#This Row],[Total Invoice]]</f>
        <v>-34734.83</v>
      </c>
      <c r="M4" t="s">
        <v>120</v>
      </c>
    </row>
    <row r="5" spans="1:17" x14ac:dyDescent="0.25">
      <c r="A5" t="s">
        <v>72</v>
      </c>
      <c r="B5" s="69">
        <v>45345</v>
      </c>
      <c r="C5" t="str">
        <f>IFERROR(VLOOKUP((VALUE(MID(A5,4,3))),ProjectsList[],3,FALSE),"")</f>
        <v>Holcim Lafarge - Joppa</v>
      </c>
      <c r="D5" s="44"/>
      <c r="E5" s="44">
        <v>6215</v>
      </c>
      <c r="F5" s="44">
        <v>3094.77</v>
      </c>
      <c r="G5" s="44">
        <v>0</v>
      </c>
      <c r="H5" s="46">
        <f>IncomeTracking[[#This Row],[Miscellaneous Exp.]]+IncomeTracking[[#This Row],[Travel Expenses]]+IncomeTracking[[#This Row],[Consulting Amount]]</f>
        <v>9309.77</v>
      </c>
      <c r="I5" s="46" cm="1">
        <f t="array" ref="I5">INDEX(IncomeTracking[Running Balance], (ROW()-3))+IncomeTracking[[#This Row],[Total Invoice]]</f>
        <v>-25425.06</v>
      </c>
      <c r="M5" t="s">
        <v>120</v>
      </c>
    </row>
    <row r="6" spans="1:17" x14ac:dyDescent="0.25">
      <c r="A6" t="s">
        <v>78</v>
      </c>
      <c r="B6" s="69">
        <v>45346</v>
      </c>
      <c r="C6" t="str">
        <f>IFERROR(VLOOKUP((VALUE(MID(A6,4,3))),ProjectsList[],3,FALSE),"")</f>
        <v>Suncor - Engineering</v>
      </c>
      <c r="D6" s="44"/>
      <c r="E6" s="44">
        <v>220</v>
      </c>
      <c r="F6" s="44"/>
      <c r="G6" s="44"/>
      <c r="H6" s="46">
        <f>IncomeTracking[[#This Row],[Miscellaneous Exp.]]+IncomeTracking[[#This Row],[Travel Expenses]]+IncomeTracking[[#This Row],[Consulting Amount]]</f>
        <v>220</v>
      </c>
      <c r="I6" s="46" cm="1">
        <f t="array" ref="I6">INDEX(IncomeTracking[Running Balance], (ROW()-3))+IncomeTracking[[#This Row],[Total Invoice]]</f>
        <v>-25205.06</v>
      </c>
      <c r="M6" t="s">
        <v>120</v>
      </c>
    </row>
    <row r="7" spans="1:17" x14ac:dyDescent="0.25">
      <c r="A7" t="s">
        <v>79</v>
      </c>
      <c r="B7" s="69">
        <v>45346</v>
      </c>
      <c r="C7" t="str">
        <f>IFERROR(VLOOKUP((VALUE(MID(A7,4,3))),ProjectsList[],3,FALSE),"")</f>
        <v>Proposal Writing and office work</v>
      </c>
      <c r="D7" s="44"/>
      <c r="E7" s="44">
        <v>330</v>
      </c>
      <c r="F7" s="44"/>
      <c r="G7" s="44"/>
      <c r="H7" s="46">
        <f>IncomeTracking[[#This Row],[Miscellaneous Exp.]]+IncomeTracking[[#This Row],[Travel Expenses]]+IncomeTracking[[#This Row],[Consulting Amount]]</f>
        <v>330</v>
      </c>
      <c r="I7" s="46" cm="1">
        <f t="array" ref="I7">INDEX(IncomeTracking[Running Balance], (ROW()-3))+IncomeTracking[[#This Row],[Total Invoice]]</f>
        <v>-24875.06</v>
      </c>
      <c r="M7" t="s">
        <v>120</v>
      </c>
    </row>
    <row r="8" spans="1:17" ht="16.5" customHeight="1" x14ac:dyDescent="0.25">
      <c r="A8" t="s">
        <v>80</v>
      </c>
      <c r="B8" s="69">
        <v>45346</v>
      </c>
      <c r="C8" t="str">
        <f>IFERROR(VLOOKUP((VALUE(MID(A8,4,3))),ProjectsList[],3,FALSE),"")</f>
        <v>MMSD Outlet Duct</v>
      </c>
      <c r="D8" s="44"/>
      <c r="E8" s="44">
        <v>110</v>
      </c>
      <c r="F8" s="44"/>
      <c r="G8" s="44"/>
      <c r="H8" s="46">
        <f>IncomeTracking[[#This Row],[Miscellaneous Exp.]]+IncomeTracking[[#This Row],[Travel Expenses]]+IncomeTracking[[#This Row],[Consulting Amount]]</f>
        <v>110</v>
      </c>
      <c r="I8" s="46" cm="1">
        <f t="array" ref="I8">INDEX(IncomeTracking[Running Balance], (ROW()-3))+IncomeTracking[[#This Row],[Total Invoice]]</f>
        <v>-24765.06</v>
      </c>
      <c r="K8" s="46">
        <f>SUM(D4:D8)</f>
        <v>0</v>
      </c>
      <c r="L8" t="s">
        <v>121</v>
      </c>
      <c r="M8" t="s">
        <v>120</v>
      </c>
      <c r="O8" t="s">
        <v>82</v>
      </c>
    </row>
    <row r="9" spans="1:17" x14ac:dyDescent="0.25">
      <c r="A9" t="s">
        <v>83</v>
      </c>
      <c r="B9" s="69">
        <v>45356</v>
      </c>
      <c r="C9" t="str">
        <f>IFERROR(VLOOKUP((VALUE(MID(A9,4,3))),ProjectsList[],3,FALSE),"")</f>
        <v>New Indy - Catawba Inlet Field Rebuild</v>
      </c>
      <c r="D9" s="44"/>
      <c r="E9" s="44">
        <v>2255</v>
      </c>
      <c r="F9" s="44">
        <v>1171.97</v>
      </c>
      <c r="G9" s="44"/>
      <c r="H9" s="46">
        <f>IncomeTracking[[#This Row],[Miscellaneous Exp.]]+IncomeTracking[[#This Row],[Travel Expenses]]+IncomeTracking[[#This Row],[Consulting Amount]]</f>
        <v>3426.9700000000003</v>
      </c>
      <c r="I9" s="46" cm="1">
        <f t="array" ref="I9">INDEX(IncomeTracking[Running Balance], (ROW()-3))+IncomeTracking[[#This Row],[Total Invoice]]</f>
        <v>-21338.09</v>
      </c>
      <c r="M9" t="s">
        <v>120</v>
      </c>
    </row>
    <row r="10" spans="1:17" ht="17.25" customHeight="1" x14ac:dyDescent="0.25">
      <c r="A10" t="s">
        <v>84</v>
      </c>
      <c r="B10" s="69">
        <v>45382</v>
      </c>
      <c r="C10" t="str">
        <f>IFERROR(VLOOKUP((VALUE(MID(A10,4,3))),ProjectsList[],3,FALSE),"")</f>
        <v>Marathon - WESP</v>
      </c>
      <c r="D10" s="44"/>
      <c r="E10" s="44">
        <v>7672.5</v>
      </c>
      <c r="F10" s="44">
        <v>3013.27</v>
      </c>
      <c r="G10" s="44"/>
      <c r="H10" s="46">
        <f>IncomeTracking[[#This Row],[Miscellaneous Exp.]]+IncomeTracking[[#This Row],[Travel Expenses]]+IncomeTracking[[#This Row],[Consulting Amount]]</f>
        <v>10685.77</v>
      </c>
      <c r="I10" s="46" cm="1">
        <f t="array" ref="I10">INDEX(IncomeTracking[Running Balance], (ROW()-3))+IncomeTracking[[#This Row],[Total Invoice]]</f>
        <v>-10652.32</v>
      </c>
      <c r="K10" s="46">
        <f>SUM(D9:D10)</f>
        <v>0</v>
      </c>
      <c r="L10" t="s">
        <v>122</v>
      </c>
      <c r="M10" t="s">
        <v>120</v>
      </c>
      <c r="O10" s="36" t="s">
        <v>88</v>
      </c>
      <c r="P10" s="36"/>
      <c r="Q10" s="36"/>
    </row>
    <row r="11" spans="1:17" x14ac:dyDescent="0.25">
      <c r="A11" t="s">
        <v>92</v>
      </c>
      <c r="B11" s="69">
        <v>45411</v>
      </c>
      <c r="C11" t="str">
        <f>IFERROR(VLOOKUP((VALUE(MID(A11,4,3))),ProjectsList[],3,FALSE),"")</f>
        <v>Suncor - Engineering</v>
      </c>
      <c r="D11" s="44"/>
      <c r="E11" s="44">
        <v>275</v>
      </c>
      <c r="F11" s="44"/>
      <c r="G11" s="44"/>
      <c r="H11" s="46">
        <f>IncomeTracking[[#This Row],[Miscellaneous Exp.]]+IncomeTracking[[#This Row],[Travel Expenses]]+IncomeTracking[[#This Row],[Consulting Amount]]</f>
        <v>275</v>
      </c>
      <c r="I11" s="46" cm="1">
        <f t="array" ref="I11">INDEX(IncomeTracking[Running Balance], (ROW()-3))+IncomeTracking[[#This Row],[Total Invoice]]</f>
        <v>-10377.32</v>
      </c>
      <c r="M11" t="s">
        <v>120</v>
      </c>
    </row>
    <row r="12" spans="1:17" x14ac:dyDescent="0.25">
      <c r="A12" t="s">
        <v>93</v>
      </c>
      <c r="B12" s="69">
        <v>45411</v>
      </c>
      <c r="C12" t="str">
        <f>IFERROR(VLOOKUP((VALUE(MID(A12,4,3))),ProjectsList[],3,FALSE),"")</f>
        <v>MMSD Outlet Duct</v>
      </c>
      <c r="D12" s="44"/>
      <c r="E12" s="44">
        <v>3410</v>
      </c>
      <c r="F12" s="44"/>
      <c r="G12" s="44"/>
      <c r="H12" s="46">
        <f>IncomeTracking[[#This Row],[Miscellaneous Exp.]]+IncomeTracking[[#This Row],[Travel Expenses]]+IncomeTracking[[#This Row],[Consulting Amount]]</f>
        <v>3410</v>
      </c>
      <c r="I12" s="46" cm="1">
        <f t="array" ref="I12">INDEX(IncomeTracking[Running Balance], (ROW()-3))+IncomeTracking[[#This Row],[Total Invoice]]</f>
        <v>-6967.32</v>
      </c>
      <c r="M12" t="s">
        <v>120</v>
      </c>
    </row>
    <row r="13" spans="1:17" x14ac:dyDescent="0.25">
      <c r="A13" t="s">
        <v>94</v>
      </c>
      <c r="B13" s="69">
        <v>45411</v>
      </c>
      <c r="C13" t="str">
        <f>IFERROR(VLOOKUP((VALUE(MID(A13,4,3))),ProjectsList[],3,FALSE),"")</f>
        <v>Proposal Writing and office work</v>
      </c>
      <c r="D13" s="44"/>
      <c r="E13" s="44">
        <v>385</v>
      </c>
      <c r="F13" s="44"/>
      <c r="G13" s="44"/>
      <c r="H13" s="46">
        <f>IncomeTracking[[#This Row],[Miscellaneous Exp.]]+IncomeTracking[[#This Row],[Travel Expenses]]+IncomeTracking[[#This Row],[Consulting Amount]]</f>
        <v>385</v>
      </c>
      <c r="I13" s="46" cm="1">
        <f t="array" ref="I13">INDEX(IncomeTracking[Running Balance], (ROW()-3))+IncomeTracking[[#This Row],[Total Invoice]]</f>
        <v>-6582.32</v>
      </c>
      <c r="M13" t="s">
        <v>120</v>
      </c>
    </row>
    <row r="14" spans="1:17" x14ac:dyDescent="0.25">
      <c r="A14" t="s">
        <v>95</v>
      </c>
      <c r="B14" s="69">
        <v>45412</v>
      </c>
      <c r="C14" t="str">
        <f>IFERROR(VLOOKUP((VALUE(MID(A14,4,3))),ProjectsList[],3,FALSE),"")</f>
        <v>Marathon - WESP</v>
      </c>
      <c r="D14" s="44"/>
      <c r="E14" s="44">
        <v>220</v>
      </c>
      <c r="F14" s="44"/>
      <c r="G14" s="44"/>
      <c r="H14" s="46">
        <f>IncomeTracking[[#This Row],[Miscellaneous Exp.]]+IncomeTracking[[#This Row],[Travel Expenses]]+IncomeTracking[[#This Row],[Consulting Amount]]</f>
        <v>220</v>
      </c>
      <c r="I14" s="46" cm="1">
        <f t="array" ref="I14">INDEX(IncomeTracking[Running Balance], (ROW()-3))+IncomeTracking[[#This Row],[Total Invoice]]</f>
        <v>-6362.32</v>
      </c>
      <c r="M14" t="s">
        <v>120</v>
      </c>
    </row>
    <row r="15" spans="1:17" ht="15.75" customHeight="1" x14ac:dyDescent="0.25">
      <c r="A15" t="s">
        <v>96</v>
      </c>
      <c r="B15" s="69">
        <v>45412</v>
      </c>
      <c r="C15" t="str">
        <f>IFERROR(VLOOKUP((VALUE(MID(A15,4,3))),ProjectsList[],3,FALSE),"")</f>
        <v>IP - Riverdale, AL BB2</v>
      </c>
      <c r="D15" s="44"/>
      <c r="E15" s="44">
        <v>1017.5</v>
      </c>
      <c r="F15" s="44">
        <v>276.36</v>
      </c>
      <c r="G15" s="44"/>
      <c r="H15" s="46">
        <f>IncomeTracking[[#This Row],[Miscellaneous Exp.]]+IncomeTracking[[#This Row],[Travel Expenses]]+IncomeTracking[[#This Row],[Consulting Amount]]</f>
        <v>1293.8600000000001</v>
      </c>
      <c r="I15" s="46" cm="1">
        <f t="array" ref="I15">INDEX(IncomeTracking[Running Balance], (ROW()-3))+IncomeTracking[[#This Row],[Total Invoice]]</f>
        <v>-5068.4599999999991</v>
      </c>
      <c r="K15" s="46">
        <f>SUM(D11:D15)</f>
        <v>0</v>
      </c>
      <c r="L15" t="s">
        <v>123</v>
      </c>
      <c r="M15" t="s">
        <v>120</v>
      </c>
      <c r="O15" t="s">
        <v>97</v>
      </c>
    </row>
    <row r="16" spans="1:17" x14ac:dyDescent="0.25">
      <c r="A16" t="s">
        <v>98</v>
      </c>
      <c r="B16" s="69">
        <v>45416</v>
      </c>
      <c r="C16" t="str">
        <f>IFERROR(VLOOKUP((VALUE(MID(A16,4,3))),ProjectsList[],3,FALSE),"")</f>
        <v>Cleveland Cliffs - Dearborn Upper Drop Out Box</v>
      </c>
      <c r="D16" s="44"/>
      <c r="E16" s="44">
        <v>3740</v>
      </c>
      <c r="F16" s="44">
        <v>1051.28</v>
      </c>
      <c r="G16" s="44"/>
      <c r="H16" s="46">
        <f>IncomeTracking[[#This Row],[Miscellaneous Exp.]]+IncomeTracking[[#This Row],[Travel Expenses]]+IncomeTracking[[#This Row],[Consulting Amount]]</f>
        <v>4791.28</v>
      </c>
      <c r="I16" s="46" cm="1">
        <f t="array" ref="I16">INDEX(IncomeTracking[Running Balance], (ROW()-3))+IncomeTracking[[#This Row],[Total Invoice]]</f>
        <v>-277.17999999999938</v>
      </c>
      <c r="M16" t="s">
        <v>120</v>
      </c>
    </row>
    <row r="17" spans="1:17" x14ac:dyDescent="0.25">
      <c r="A17" t="s">
        <v>99</v>
      </c>
      <c r="B17" s="69">
        <v>45416</v>
      </c>
      <c r="C17" t="str">
        <f>IFERROR(VLOOKUP((VALUE(MID(A17,4,3))),ProjectsList[],3,FALSE),"")</f>
        <v>IP - Riverdale, AL BB2</v>
      </c>
      <c r="D17" s="44"/>
      <c r="E17" s="44">
        <v>1265</v>
      </c>
      <c r="F17" s="44">
        <v>289.76</v>
      </c>
      <c r="G17" s="44"/>
      <c r="H17" s="46">
        <f>IncomeTracking[[#This Row],[Miscellaneous Exp.]]+IncomeTracking[[#This Row],[Travel Expenses]]+IncomeTracking[[#This Row],[Consulting Amount]]</f>
        <v>1554.76</v>
      </c>
      <c r="I17" s="46" cm="1">
        <f t="array" ref="I17">INDEX(IncomeTracking[Running Balance], (ROW()-3))+IncomeTracking[[#This Row],[Total Invoice]]</f>
        <v>1277.5800000000006</v>
      </c>
      <c r="M17" t="s">
        <v>120</v>
      </c>
      <c r="N17" s="45">
        <v>45442</v>
      </c>
    </row>
    <row r="18" spans="1:17" x14ac:dyDescent="0.25">
      <c r="A18" t="s">
        <v>100</v>
      </c>
      <c r="B18" s="69">
        <v>45416</v>
      </c>
      <c r="C18" t="str">
        <f>IFERROR(VLOOKUP((VALUE(MID(A18,4,3))),ProjectsList[],3,FALSE),"")</f>
        <v>IP - Riverdale, AL RB1 and RB2</v>
      </c>
      <c r="D18" s="44"/>
      <c r="E18" s="44">
        <v>11385</v>
      </c>
      <c r="F18" s="44">
        <v>2634.34</v>
      </c>
      <c r="G18" s="44"/>
      <c r="H18" s="46">
        <f>IncomeTracking[[#This Row],[Miscellaneous Exp.]]+IncomeTracking[[#This Row],[Travel Expenses]]+IncomeTracking[[#This Row],[Consulting Amount]]</f>
        <v>14019.34</v>
      </c>
      <c r="I18" s="46" cm="1">
        <f t="array" ref="I18">INDEX(IncomeTracking[Running Balance], (ROW()-3))+IncomeTracking[[#This Row],[Total Invoice]]</f>
        <v>15296.92</v>
      </c>
      <c r="L18" s="46"/>
      <c r="M18" t="s">
        <v>120</v>
      </c>
      <c r="N18" s="45">
        <v>45442</v>
      </c>
    </row>
    <row r="19" spans="1:17" x14ac:dyDescent="0.25">
      <c r="A19" t="s">
        <v>104</v>
      </c>
      <c r="B19" s="69">
        <v>45478</v>
      </c>
      <c r="C19" t="str">
        <f>IFERROR(VLOOKUP((VALUE(MID(A19,4,3))),ProjectsList[],3,FALSE),"")</f>
        <v>Suncor - Field Work</v>
      </c>
      <c r="D19" s="44"/>
      <c r="E19" s="44">
        <v>9515</v>
      </c>
      <c r="F19" s="44">
        <v>3444.46</v>
      </c>
      <c r="G19" s="44"/>
      <c r="H19" s="46">
        <f>IncomeTracking[[#This Row],[Miscellaneous Exp.]]+IncomeTracking[[#This Row],[Travel Expenses]]+IncomeTracking[[#This Row],[Consulting Amount]]</f>
        <v>12959.46</v>
      </c>
      <c r="I19" s="46" cm="1">
        <f t="array" ref="I19">INDEX(IncomeTracking[Running Balance], (ROW()-3))+IncomeTracking[[#This Row],[Total Invoice]]</f>
        <v>28256.379999999997</v>
      </c>
      <c r="M19" t="s">
        <v>120</v>
      </c>
      <c r="N19" s="45">
        <v>45520</v>
      </c>
      <c r="Q19" s="46">
        <f>F4+F5+F9+F10</f>
        <v>8750.18</v>
      </c>
    </row>
    <row r="20" spans="1:17" x14ac:dyDescent="0.25">
      <c r="A20" t="s">
        <v>105</v>
      </c>
      <c r="B20" s="69">
        <v>45478</v>
      </c>
      <c r="C20" t="str">
        <f>IFERROR(VLOOKUP((VALUE(MID(A20,4,3))),ProjectsList[],3,FALSE),"")</f>
        <v>Proposal Writing and office work</v>
      </c>
      <c r="D20" s="44"/>
      <c r="E20" s="44">
        <v>30000</v>
      </c>
      <c r="F20" s="44"/>
      <c r="G20" s="44"/>
      <c r="H20" s="46">
        <f>IncomeTracking[[#This Row],[Miscellaneous Exp.]]+IncomeTracking[[#This Row],[Travel Expenses]]+IncomeTracking[[#This Row],[Consulting Amount]]</f>
        <v>30000</v>
      </c>
      <c r="I20" s="46" cm="1">
        <f t="array" ref="I20">INDEX(IncomeTracking[Running Balance], (ROW()-3))+IncomeTracking[[#This Row],[Total Invoice]]</f>
        <v>58256.38</v>
      </c>
      <c r="M20" t="s">
        <v>120</v>
      </c>
      <c r="N20" s="45">
        <v>45489</v>
      </c>
    </row>
    <row r="21" spans="1:17" x14ac:dyDescent="0.25">
      <c r="A21" t="s">
        <v>106</v>
      </c>
      <c r="B21" s="69">
        <v>45500</v>
      </c>
      <c r="C21" t="str">
        <f>IFERROR(VLOOKUP((VALUE(MID(A21,4,3))),ProjectsList[],3,FALSE),"")</f>
        <v>New Indy - Catawba Multiclone</v>
      </c>
      <c r="D21" s="44"/>
      <c r="E21" s="44">
        <v>2640</v>
      </c>
      <c r="F21" s="44">
        <v>1585.55</v>
      </c>
      <c r="G21" s="44"/>
      <c r="H21" s="46">
        <f>IncomeTracking[[#This Row],[Miscellaneous Exp.]]+IncomeTracking[[#This Row],[Travel Expenses]]+IncomeTracking[[#This Row],[Consulting Amount]]</f>
        <v>4225.55</v>
      </c>
      <c r="I21" s="46" cm="1">
        <f t="array" ref="I21">INDEX(IncomeTracking[Running Balance], (ROW()-3))+IncomeTracking[[#This Row],[Total Invoice]]</f>
        <v>62481.93</v>
      </c>
      <c r="M21" t="s">
        <v>120</v>
      </c>
      <c r="N21" s="45">
        <v>45621</v>
      </c>
    </row>
    <row r="22" spans="1:17" x14ac:dyDescent="0.25">
      <c r="A22" t="s">
        <v>107</v>
      </c>
      <c r="B22" s="69">
        <v>45500</v>
      </c>
      <c r="C22" t="str">
        <f>IFERROR(VLOOKUP((VALUE(MID(A22,4,3))),ProjectsList[],3,FALSE),"")</f>
        <v>Brittany Global - WESP</v>
      </c>
      <c r="D22" s="44"/>
      <c r="E22" s="44">
        <v>1320</v>
      </c>
      <c r="F22" s="44"/>
      <c r="G22" s="44"/>
      <c r="H22" s="46">
        <f>IncomeTracking[[#This Row],[Miscellaneous Exp.]]+IncomeTracking[[#This Row],[Travel Expenses]]+IncomeTracking[[#This Row],[Consulting Amount]]</f>
        <v>1320</v>
      </c>
      <c r="I22" s="46" cm="1">
        <f t="array" ref="I22">INDEX(IncomeTracking[Running Balance], (ROW()-3))+IncomeTracking[[#This Row],[Total Invoice]]</f>
        <v>63801.93</v>
      </c>
      <c r="M22" t="s">
        <v>120</v>
      </c>
      <c r="N22" s="45">
        <v>45621</v>
      </c>
    </row>
    <row r="23" spans="1:17" x14ac:dyDescent="0.25">
      <c r="A23" t="s">
        <v>108</v>
      </c>
      <c r="B23" s="69">
        <v>45500</v>
      </c>
      <c r="C23" t="str">
        <f>IFERROR(VLOOKUP((VALUE(MID(A23,4,3))),ProjectsList[],3,FALSE),"")</f>
        <v>Suncor - Engineering</v>
      </c>
      <c r="D23" s="44"/>
      <c r="E23" s="44">
        <v>5775</v>
      </c>
      <c r="F23" s="44"/>
      <c r="G23" s="44"/>
      <c r="H23" s="46">
        <f>IncomeTracking[[#This Row],[Miscellaneous Exp.]]+IncomeTracking[[#This Row],[Travel Expenses]]+IncomeTracking[[#This Row],[Consulting Amount]]</f>
        <v>5775</v>
      </c>
      <c r="I23" s="46" cm="1">
        <f t="array" ref="I23">INDEX(IncomeTracking[Running Balance], (ROW()-3))+IncomeTracking[[#This Row],[Total Invoice]]</f>
        <v>69576.929999999993</v>
      </c>
      <c r="M23" t="s">
        <v>120</v>
      </c>
      <c r="N23" s="45">
        <v>45621</v>
      </c>
      <c r="Q23" s="46">
        <f>SUM(F4:F33)</f>
        <v>33319.57</v>
      </c>
    </row>
    <row r="24" spans="1:17" x14ac:dyDescent="0.25">
      <c r="A24" t="s">
        <v>109</v>
      </c>
      <c r="B24" s="69">
        <v>45500</v>
      </c>
      <c r="C24" t="str">
        <f>IFERROR(VLOOKUP((VALUE(MID(A24,4,3))),ProjectsList[],3,FALSE),"")</f>
        <v>MMSD Outlet Duct</v>
      </c>
      <c r="D24" s="44"/>
      <c r="E24" s="44">
        <v>880</v>
      </c>
      <c r="F24" s="44"/>
      <c r="G24" s="44"/>
      <c r="H24" s="46">
        <f>IncomeTracking[[#This Row],[Miscellaneous Exp.]]+IncomeTracking[[#This Row],[Travel Expenses]]+IncomeTracking[[#This Row],[Consulting Amount]]</f>
        <v>880</v>
      </c>
      <c r="I24" s="46" cm="1">
        <f t="array" ref="I24">INDEX(IncomeTracking[Running Balance], (ROW()-3))+IncomeTracking[[#This Row],[Total Invoice]]</f>
        <v>70456.929999999993</v>
      </c>
      <c r="M24" t="s">
        <v>120</v>
      </c>
      <c r="N24" s="45">
        <v>45621</v>
      </c>
    </row>
    <row r="25" spans="1:17" x14ac:dyDescent="0.25">
      <c r="A25" t="s">
        <v>110</v>
      </c>
      <c r="B25" s="69">
        <v>45500</v>
      </c>
      <c r="C25" t="str">
        <f>IFERROR(VLOOKUP((VALUE(MID(A25,4,3))),ProjectsList[],3,FALSE),"")</f>
        <v>Holcim Lafarge - Joppa</v>
      </c>
      <c r="D25" s="44"/>
      <c r="E25" s="44">
        <v>440</v>
      </c>
      <c r="F25" s="44"/>
      <c r="G25" s="44"/>
      <c r="H25" s="46">
        <f>IncomeTracking[[#This Row],[Miscellaneous Exp.]]+IncomeTracking[[#This Row],[Travel Expenses]]+IncomeTracking[[#This Row],[Consulting Amount]]</f>
        <v>440</v>
      </c>
      <c r="I25" s="46" cm="1">
        <f t="array" ref="I25">INDEX(IncomeTracking[Running Balance], (ROW()-3))+IncomeTracking[[#This Row],[Total Invoice]]</f>
        <v>70896.929999999993</v>
      </c>
      <c r="M25" t="s">
        <v>120</v>
      </c>
      <c r="N25" s="45">
        <v>45621</v>
      </c>
      <c r="Q25" s="46">
        <f>Q23-Q19</f>
        <v>24569.39</v>
      </c>
    </row>
    <row r="26" spans="1:17" ht="16.5" customHeight="1" x14ac:dyDescent="0.25">
      <c r="A26" t="s">
        <v>111</v>
      </c>
      <c r="B26" s="69">
        <v>45500</v>
      </c>
      <c r="C26" t="str">
        <f>IFERROR(VLOOKUP((VALUE(MID(A26,4,3))),ProjectsList[],3,FALSE),"")</f>
        <v>Proposal Writing and office work</v>
      </c>
      <c r="D26" s="44"/>
      <c r="E26" s="44">
        <v>220</v>
      </c>
      <c r="F26" s="44"/>
      <c r="G26" s="44"/>
      <c r="H26" s="46">
        <f>IncomeTracking[[#This Row],[Miscellaneous Exp.]]+IncomeTracking[[#This Row],[Travel Expenses]]+IncomeTracking[[#This Row],[Consulting Amount]]</f>
        <v>220</v>
      </c>
      <c r="I26" s="46" cm="1">
        <f t="array" ref="I26">INDEX(IncomeTracking[Running Balance], (ROW()-3))+IncomeTracking[[#This Row],[Total Invoice]]</f>
        <v>71116.929999999993</v>
      </c>
      <c r="K26" s="46">
        <f>SUM(D19:D26)</f>
        <v>0</v>
      </c>
      <c r="L26" t="s">
        <v>124</v>
      </c>
      <c r="M26" t="s">
        <v>120</v>
      </c>
      <c r="N26" s="45">
        <v>45621</v>
      </c>
    </row>
    <row r="27" spans="1:17" x14ac:dyDescent="0.25">
      <c r="A27" t="s">
        <v>112</v>
      </c>
      <c r="B27" s="69">
        <v>45513</v>
      </c>
      <c r="C27" t="str">
        <f>IFERROR(VLOOKUP((VALUE(MID(A27,4,3))),ProjectsList[],3,FALSE),"")</f>
        <v>Marathon - WESP</v>
      </c>
      <c r="D27" s="44"/>
      <c r="E27" s="44">
        <v>28050</v>
      </c>
      <c r="F27" s="44">
        <v>11706.14</v>
      </c>
      <c r="G27" s="44"/>
      <c r="H27" s="46">
        <f>IncomeTracking[[#This Row],[Miscellaneous Exp.]]+IncomeTracking[[#This Row],[Travel Expenses]]+IncomeTracking[[#This Row],[Consulting Amount]]</f>
        <v>39756.14</v>
      </c>
      <c r="I27" s="46" cm="1">
        <f t="array" ref="I27">INDEX(IncomeTracking[Running Balance], (ROW()-3))+IncomeTracking[[#This Row],[Total Invoice]]</f>
        <v>110873.06999999999</v>
      </c>
      <c r="M27" t="s">
        <v>120</v>
      </c>
      <c r="N27" s="45">
        <v>45552</v>
      </c>
    </row>
    <row r="28" spans="1:17" x14ac:dyDescent="0.25">
      <c r="A28" t="s">
        <v>113</v>
      </c>
      <c r="B28" s="69">
        <v>45535</v>
      </c>
      <c r="C28" t="str">
        <f>IFERROR(VLOOKUP((VALUE(MID(A28,4,3))),ProjectsList[],3,FALSE),"")</f>
        <v>Suncor - Engineering</v>
      </c>
      <c r="D28" s="44"/>
      <c r="E28" s="44">
        <v>16720</v>
      </c>
      <c r="F28" s="44"/>
      <c r="G28" s="44"/>
      <c r="H28" s="46">
        <f>IncomeTracking[[#This Row],[Miscellaneous Exp.]]+IncomeTracking[[#This Row],[Travel Expenses]]+IncomeTracking[[#This Row],[Consulting Amount]]</f>
        <v>16720</v>
      </c>
      <c r="I28" s="46" cm="1">
        <f t="array" ref="I28">INDEX(IncomeTracking[Running Balance], (ROW()-3))+IncomeTracking[[#This Row],[Total Invoice]]</f>
        <v>127593.06999999999</v>
      </c>
      <c r="K28" s="46">
        <f>SUM(D27:D28)</f>
        <v>0</v>
      </c>
      <c r="L28" t="s">
        <v>125</v>
      </c>
      <c r="M28" t="s">
        <v>120</v>
      </c>
      <c r="N28" s="45">
        <v>45635</v>
      </c>
    </row>
    <row r="29" spans="1:17" x14ac:dyDescent="0.25">
      <c r="A29" t="s">
        <v>114</v>
      </c>
      <c r="B29" s="69">
        <v>45562</v>
      </c>
      <c r="C29" t="str">
        <f>IFERROR(VLOOKUP((VALUE(MID(A29,4,3))),ProjectsList[],3,FALSE),"")</f>
        <v>Suncor - Engineering</v>
      </c>
      <c r="D29" s="44"/>
      <c r="E29" s="44">
        <v>15620</v>
      </c>
      <c r="F29" s="44"/>
      <c r="G29" s="44"/>
      <c r="H29" s="46">
        <f>IncomeTracking[[#This Row],[Miscellaneous Exp.]]+IncomeTracking[[#This Row],[Travel Expenses]]+IncomeTracking[[#This Row],[Consulting Amount]]</f>
        <v>15620</v>
      </c>
      <c r="I29" s="46" cm="1">
        <f t="array" ref="I29">INDEX(IncomeTracking[Running Balance], (ROW()-3))+IncomeTracking[[#This Row],[Total Invoice]]</f>
        <v>143213.07</v>
      </c>
      <c r="K29" s="46">
        <f>D29</f>
        <v>0</v>
      </c>
      <c r="L29" t="s">
        <v>126</v>
      </c>
      <c r="M29" t="s">
        <v>120</v>
      </c>
      <c r="N29" s="45">
        <v>45581</v>
      </c>
    </row>
    <row r="30" spans="1:17" x14ac:dyDescent="0.25">
      <c r="A30" t="s">
        <v>115</v>
      </c>
      <c r="B30" s="69">
        <v>45592</v>
      </c>
      <c r="C30" t="str">
        <f>IFERROR(VLOOKUP((VALUE(MID(A30,4,3))),ProjectsList[],3,FALSE),"")</f>
        <v>Suncor - Engineering</v>
      </c>
      <c r="D30" s="44"/>
      <c r="E30" s="44">
        <v>6820</v>
      </c>
      <c r="F30" s="44"/>
      <c r="G30" s="44"/>
      <c r="H30" s="46">
        <f>IncomeTracking[[#This Row],[Miscellaneous Exp.]]+IncomeTracking[[#This Row],[Travel Expenses]]+IncomeTracking[[#This Row],[Consulting Amount]]</f>
        <v>6820</v>
      </c>
      <c r="I30" s="46" cm="1">
        <f t="array" ref="I30">INDEX(IncomeTracking[Running Balance], (ROW()-3))+IncomeTracking[[#This Row],[Total Invoice]]</f>
        <v>150033.07</v>
      </c>
      <c r="M30" t="s">
        <v>120</v>
      </c>
      <c r="N30" s="45">
        <v>45621</v>
      </c>
    </row>
    <row r="31" spans="1:17" x14ac:dyDescent="0.25">
      <c r="A31" t="s">
        <v>116</v>
      </c>
      <c r="B31" s="69">
        <v>45592</v>
      </c>
      <c r="C31" t="str">
        <f>IFERROR(VLOOKUP((VALUE(MID(A31,4,3))),ProjectsList[],3,FALSE),"")</f>
        <v>Suncor - Field Work</v>
      </c>
      <c r="D31" s="44"/>
      <c r="E31" s="44">
        <v>6050</v>
      </c>
      <c r="F31" s="44">
        <v>3581.5</v>
      </c>
      <c r="G31" s="44"/>
      <c r="H31" s="46">
        <f>IncomeTracking[[#This Row],[Miscellaneous Exp.]]+IncomeTracking[[#This Row],[Travel Expenses]]+IncomeTracking[[#This Row],[Consulting Amount]]</f>
        <v>9631.5</v>
      </c>
      <c r="I31" s="46" cm="1">
        <f t="array" ref="I31">INDEX(IncomeTracking[Running Balance], (ROW()-3))+IncomeTracking[[#This Row],[Total Invoice]]</f>
        <v>159664.57</v>
      </c>
      <c r="K31" s="46">
        <f>SUM(D30:D31)</f>
        <v>0</v>
      </c>
      <c r="L31" t="s">
        <v>127</v>
      </c>
      <c r="M31" t="s">
        <v>120</v>
      </c>
      <c r="N31" s="45">
        <v>45621</v>
      </c>
    </row>
    <row r="32" spans="1:17" x14ac:dyDescent="0.25">
      <c r="A32" t="s">
        <v>130</v>
      </c>
      <c r="B32" s="69">
        <v>45637</v>
      </c>
      <c r="C32" t="str">
        <f>IFERROR(VLOOKUP((VALUE(MID(A32,4,3))),ProjectsList[],3,FALSE),"")</f>
        <v>Suncor - Engineering</v>
      </c>
      <c r="D32" s="44"/>
      <c r="E32" s="44">
        <v>15400</v>
      </c>
      <c r="F32" s="44"/>
      <c r="G32" s="44"/>
      <c r="H32" s="46">
        <f>IncomeTracking[[#This Row],[Miscellaneous Exp.]]+IncomeTracking[[#This Row],[Travel Expenses]]+IncomeTracking[[#This Row],[Consulting Amount]]</f>
        <v>15400</v>
      </c>
      <c r="I32" s="46" cm="1">
        <f t="array" ref="I32">INDEX(IncomeTracking[Running Balance], (ROW()-3))+IncomeTracking[[#This Row],[Total Invoice]]</f>
        <v>175064.57</v>
      </c>
      <c r="M32" t="s">
        <v>120</v>
      </c>
      <c r="N32" s="45">
        <v>45646</v>
      </c>
    </row>
    <row r="33" spans="1:15" x14ac:dyDescent="0.25">
      <c r="A33" t="s">
        <v>131</v>
      </c>
      <c r="B33" s="69">
        <v>45637</v>
      </c>
      <c r="C33" t="str">
        <f>IFERROR(VLOOKUP((VALUE(MID(A33,4,3))),ProjectsList[],3,FALSE),"")</f>
        <v>Suncor - Engineering</v>
      </c>
      <c r="D33" s="44"/>
      <c r="E33" s="44">
        <v>3120</v>
      </c>
      <c r="F33" s="44"/>
      <c r="G33" s="44"/>
      <c r="H33" s="46">
        <f>IncomeTracking[[#This Row],[Miscellaneous Exp.]]+IncomeTracking[[#This Row],[Travel Expenses]]+IncomeTracking[[#This Row],[Consulting Amount]]</f>
        <v>3120</v>
      </c>
      <c r="I33" s="46" cm="1">
        <f t="array" ref="I33">INDEX(IncomeTracking[Running Balance], (ROW()-3))+IncomeTracking[[#This Row],[Total Invoice]]</f>
        <v>178184.57</v>
      </c>
      <c r="M33" t="s">
        <v>120</v>
      </c>
      <c r="N33" s="45">
        <v>45646</v>
      </c>
    </row>
    <row r="34" spans="1:15" x14ac:dyDescent="0.25">
      <c r="B34" s="69">
        <v>45657</v>
      </c>
      <c r="C34" t="s">
        <v>189</v>
      </c>
      <c r="E34" s="44"/>
      <c r="F34" s="44"/>
      <c r="G34" s="44"/>
      <c r="H34" s="46">
        <f>IncomeTracking[[#This Row],[Miscellaneous Exp.]]+IncomeTracking[[#This Row],[Travel Expenses]]+IncomeTracking[[#This Row],[Consulting Amount]]</f>
        <v>0</v>
      </c>
      <c r="I34" s="46" cm="1">
        <f t="array" ref="I34">INDEX(IncomeTracking[Running Balance], (ROW()-3))+IncomeTracking[[#This Row],[Total Invoice]]</f>
        <v>178184.57</v>
      </c>
    </row>
    <row r="35" spans="1:15" x14ac:dyDescent="0.25">
      <c r="B35" s="69">
        <v>45658</v>
      </c>
      <c r="C35" t="s">
        <v>190</v>
      </c>
      <c r="E35" s="44"/>
      <c r="F35" s="44"/>
      <c r="G35" s="44"/>
      <c r="H35" s="46"/>
      <c r="I35" s="46"/>
    </row>
    <row r="36" spans="1:15" x14ac:dyDescent="0.25">
      <c r="A36" t="s">
        <v>132</v>
      </c>
      <c r="B36" s="69">
        <v>45683</v>
      </c>
      <c r="C36" t="s">
        <v>133</v>
      </c>
      <c r="E36" s="44"/>
      <c r="F36" s="44"/>
      <c r="G36" s="44">
        <v>-50000</v>
      </c>
      <c r="H36" s="46">
        <f>IncomeTracking[[#This Row],[Miscellaneous Exp.]]+IncomeTracking[[#This Row],[Travel Expenses]]+IncomeTracking[[#This Row],[Consulting Amount]]</f>
        <v>-50000</v>
      </c>
      <c r="I36" s="46" cm="1">
        <f t="array" ref="I36">INDEX(IncomeTracking[Running Balance], (ROW()-3))+IncomeTracking[[#This Row],[Total Invoice]]</f>
        <v>-50000</v>
      </c>
      <c r="N36" s="45">
        <v>45683</v>
      </c>
    </row>
    <row r="37" spans="1:15" x14ac:dyDescent="0.25">
      <c r="A37" t="s">
        <v>135</v>
      </c>
      <c r="B37" s="69">
        <v>45683</v>
      </c>
      <c r="C37" t="s">
        <v>134</v>
      </c>
      <c r="E37" s="44"/>
      <c r="F37" s="44"/>
      <c r="G37" s="44">
        <v>-60000</v>
      </c>
      <c r="H37" s="46">
        <f>IncomeTracking[[#This Row],[Miscellaneous Exp.]]+IncomeTracking[[#This Row],[Travel Expenses]]+IncomeTracking[[#This Row],[Consulting Amount]]</f>
        <v>-60000</v>
      </c>
      <c r="I37" s="46" cm="1">
        <f t="array" ref="I37">INDEX(IncomeTracking[Running Balance], (ROW()-3))+IncomeTracking[[#This Row],[Total Invoice]]</f>
        <v>-110000</v>
      </c>
      <c r="N37" s="45">
        <v>45683</v>
      </c>
    </row>
    <row r="38" spans="1:15" x14ac:dyDescent="0.25">
      <c r="A38" t="s">
        <v>136</v>
      </c>
      <c r="B38" s="69">
        <v>45683</v>
      </c>
      <c r="C38" t="str">
        <f>IFERROR(VLOOKUP((VALUE(MID(A38,4,3))),ProjectsList[],3,FALSE),"")</f>
        <v>Suncor - Engineering</v>
      </c>
      <c r="D38" s="44"/>
      <c r="E38" s="44">
        <v>5940</v>
      </c>
      <c r="F38" s="44">
        <v>0</v>
      </c>
      <c r="G38" s="44"/>
      <c r="H38" s="46">
        <f>IncomeTracking[[#This Row],[Miscellaneous Exp.]]+IncomeTracking[[#This Row],[Travel Expenses]]+IncomeTracking[[#This Row],[Consulting Amount]]</f>
        <v>5940</v>
      </c>
      <c r="I38" s="46" cm="1">
        <f t="array" ref="I38">INDEX(IncomeTracking[Running Balance], (ROW()-3))+IncomeTracking[[#This Row],[Total Invoice]]</f>
        <v>-104060</v>
      </c>
      <c r="M38" t="s">
        <v>120</v>
      </c>
      <c r="N38" s="45">
        <v>45683</v>
      </c>
    </row>
    <row r="39" spans="1:15" x14ac:dyDescent="0.25">
      <c r="A39" t="s">
        <v>137</v>
      </c>
      <c r="B39" s="69">
        <v>45683</v>
      </c>
      <c r="C39" t="str">
        <f>IFERROR(VLOOKUP((VALUE(MID(A39,4,3))),ProjectsList[],3,FALSE),"")</f>
        <v>MMSD Outlet Duct - Model Study</v>
      </c>
      <c r="D39" s="44"/>
      <c r="E39" s="44">
        <v>24650</v>
      </c>
      <c r="F39" s="44">
        <v>0</v>
      </c>
      <c r="G39" s="44"/>
      <c r="H39" s="46">
        <f>IncomeTracking[[#This Row],[Miscellaneous Exp.]]+IncomeTracking[[#This Row],[Travel Expenses]]+IncomeTracking[[#This Row],[Consulting Amount]]</f>
        <v>24650</v>
      </c>
      <c r="I39" s="46" cm="1">
        <f t="array" ref="I39">INDEX(IncomeTracking[Running Balance], (ROW()-3))+IncomeTracking[[#This Row],[Total Invoice]]</f>
        <v>-79410</v>
      </c>
      <c r="M39" t="s">
        <v>120</v>
      </c>
      <c r="N39" s="45">
        <v>45683</v>
      </c>
    </row>
    <row r="40" spans="1:15" x14ac:dyDescent="0.25">
      <c r="A40" t="s">
        <v>202</v>
      </c>
      <c r="B40" s="69">
        <v>45732</v>
      </c>
      <c r="C40" t="str">
        <f>IFERROR(VLOOKUP((VALUE(MID(A40,4,3))),ProjectsList[],3,FALSE),"")</f>
        <v>Holcim - Ada - Inspection</v>
      </c>
      <c r="E40" s="44">
        <v>4400</v>
      </c>
      <c r="F40" s="44">
        <v>2380.48</v>
      </c>
      <c r="G40" s="44"/>
      <c r="H40" s="46">
        <f>IncomeTracking[[#This Row],[Miscellaneous Exp.]]+IncomeTracking[[#This Row],[Travel Expenses]]+IncomeTracking[[#This Row],[Consulting Amount]]</f>
        <v>6780.48</v>
      </c>
      <c r="I40" s="46" cm="1">
        <f t="array" ref="I40">INDEX(IncomeTracking[Running Balance], (ROW()-3))+IncomeTracking[[#This Row],[Total Invoice]]</f>
        <v>-72629.52</v>
      </c>
      <c r="M40" t="s">
        <v>120</v>
      </c>
      <c r="N40" s="45">
        <v>45683</v>
      </c>
    </row>
    <row r="41" spans="1:15" x14ac:dyDescent="0.25">
      <c r="A41" t="s">
        <v>211</v>
      </c>
      <c r="B41" s="69">
        <v>45732</v>
      </c>
      <c r="C41" t="str">
        <f>IFERROR(VLOOKUP((VALUE(MID(A41,4,3))),ProjectsList[],3,FALSE),"")</f>
        <v>Suncor - Engineering</v>
      </c>
      <c r="E41" s="44">
        <v>1210</v>
      </c>
      <c r="F41" s="44">
        <v>0</v>
      </c>
      <c r="G41" s="44"/>
      <c r="H41" s="46">
        <f>IncomeTracking[[#This Row],[Miscellaneous Exp.]]+IncomeTracking[[#This Row],[Travel Expenses]]+IncomeTracking[[#This Row],[Consulting Amount]]</f>
        <v>1210</v>
      </c>
      <c r="I41" s="46" cm="1">
        <f t="array" ref="I41">INDEX(IncomeTracking[Running Balance], (ROW()-3))+IncomeTracking[[#This Row],[Total Invoice]]</f>
        <v>-71419.520000000004</v>
      </c>
      <c r="M41" t="s">
        <v>120</v>
      </c>
      <c r="N41" s="45">
        <v>45683</v>
      </c>
    </row>
    <row r="42" spans="1:15" x14ac:dyDescent="0.25">
      <c r="A42" t="s">
        <v>212</v>
      </c>
      <c r="B42" s="69">
        <v>45732</v>
      </c>
      <c r="C42" t="str">
        <f>IFERROR(VLOOKUP((VALUE(MID(A42,4,3))),ProjectsList[],3,FALSE),"")</f>
        <v>MMSD Outlet Duct</v>
      </c>
      <c r="E42" s="44">
        <v>660</v>
      </c>
      <c r="F42" s="44">
        <v>0</v>
      </c>
      <c r="G42" s="44"/>
      <c r="H42" s="46">
        <f>IncomeTracking[[#This Row],[Miscellaneous Exp.]]+IncomeTracking[[#This Row],[Travel Expenses]]+IncomeTracking[[#This Row],[Consulting Amount]]</f>
        <v>660</v>
      </c>
      <c r="I42" s="46" cm="1">
        <f t="array" ref="I42">INDEX(IncomeTracking[Running Balance], (ROW()-3))+IncomeTracking[[#This Row],[Total Invoice]]</f>
        <v>-70759.520000000004</v>
      </c>
      <c r="M42" t="s">
        <v>120</v>
      </c>
      <c r="N42" s="45">
        <v>45683</v>
      </c>
    </row>
    <row r="43" spans="1:15" x14ac:dyDescent="0.25">
      <c r="A43" t="s">
        <v>213</v>
      </c>
      <c r="B43" s="69">
        <v>45732</v>
      </c>
      <c r="C43" t="str">
        <f>IFERROR(VLOOKUP((VALUE(MID(A43,4,3))),ProjectsList[],3,FALSE),"")</f>
        <v>Suncor Model Study - Inlet &amp;Coke Fines</v>
      </c>
      <c r="E43" s="44">
        <v>30000</v>
      </c>
      <c r="F43" s="44">
        <v>0</v>
      </c>
      <c r="G43" s="44"/>
      <c r="H43" s="46">
        <f>IncomeTracking[[#This Row],[Miscellaneous Exp.]]+IncomeTracking[[#This Row],[Travel Expenses]]+IncomeTracking[[#This Row],[Consulting Amount]]</f>
        <v>30000</v>
      </c>
      <c r="I43" s="46" cm="1">
        <f t="array" ref="I43">INDEX(IncomeTracking[Running Balance], (ROW()-3))+IncomeTracking[[#This Row],[Total Invoice]]</f>
        <v>-40759.520000000004</v>
      </c>
      <c r="M43" t="s">
        <v>120</v>
      </c>
      <c r="N43" s="45">
        <v>45683</v>
      </c>
    </row>
    <row r="44" spans="1:15" x14ac:dyDescent="0.25">
      <c r="A44" t="s">
        <v>214</v>
      </c>
      <c r="B44" s="69">
        <v>45732</v>
      </c>
      <c r="C44" t="str">
        <f>IFERROR(VLOOKUP((VALUE(MID(A44,4,3))),ProjectsList[],3,FALSE),"")</f>
        <v>Suncor Weekly Meetings</v>
      </c>
      <c r="E44" s="44">
        <v>2530</v>
      </c>
      <c r="F44" s="44">
        <v>0</v>
      </c>
      <c r="G44" s="44"/>
      <c r="H44" s="46">
        <f>IncomeTracking[[#This Row],[Miscellaneous Exp.]]+IncomeTracking[[#This Row],[Travel Expenses]]+IncomeTracking[[#This Row],[Consulting Amount]]</f>
        <v>2530</v>
      </c>
      <c r="I44" s="46" cm="1">
        <f t="array" ref="I44">INDEX(IncomeTracking[Running Balance], (ROW()-3))+IncomeTracking[[#This Row],[Total Invoice]]</f>
        <v>-38229.520000000004</v>
      </c>
      <c r="M44" t="s">
        <v>120</v>
      </c>
      <c r="N44" s="45">
        <v>45683</v>
      </c>
    </row>
    <row r="45" spans="1:15" x14ac:dyDescent="0.25">
      <c r="A45" t="s">
        <v>215</v>
      </c>
      <c r="B45" s="69">
        <v>45732</v>
      </c>
      <c r="C45" t="str">
        <f>IFERROR(VLOOKUP((VALUE(MID(A45,4,3))),ProjectsList[],3,FALSE),"")</f>
        <v>Suncor Extra Engineering</v>
      </c>
      <c r="E45" s="44">
        <v>3080</v>
      </c>
      <c r="F45" s="44">
        <v>0</v>
      </c>
      <c r="G45" s="44"/>
      <c r="H45" s="46">
        <f>IncomeTracking[[#This Row],[Miscellaneous Exp.]]+IncomeTracking[[#This Row],[Travel Expenses]]+IncomeTracking[[#This Row],[Consulting Amount]]</f>
        <v>3080</v>
      </c>
      <c r="I45" s="46" cm="1">
        <f t="array" ref="I45">INDEX(IncomeTracking[Running Balance], (ROW()-3))+IncomeTracking[[#This Row],[Total Invoice]]</f>
        <v>-35149.520000000004</v>
      </c>
      <c r="M45" t="s">
        <v>120</v>
      </c>
      <c r="N45" s="45">
        <v>45683</v>
      </c>
    </row>
    <row r="46" spans="1:15" x14ac:dyDescent="0.25">
      <c r="A46" t="s">
        <v>216</v>
      </c>
      <c r="B46" s="69">
        <v>45732</v>
      </c>
      <c r="C46" t="str">
        <f>IFERROR(VLOOKUP((VALUE(MID(A46,4,3))),ProjectsList[],3,FALSE),"")</f>
        <v>Westrock Power Plus Specifications</v>
      </c>
      <c r="E46" s="44">
        <v>1870</v>
      </c>
      <c r="F46" s="44">
        <v>0</v>
      </c>
      <c r="G46" s="44"/>
      <c r="H46" s="46">
        <f>IncomeTracking[[#This Row],[Miscellaneous Exp.]]+IncomeTracking[[#This Row],[Travel Expenses]]+IncomeTracking[[#This Row],[Consulting Amount]]</f>
        <v>1870</v>
      </c>
      <c r="I46" s="46" cm="1">
        <f t="array" ref="I46">INDEX(IncomeTracking[Running Balance], (ROW()-3))+IncomeTracking[[#This Row],[Total Invoice]]</f>
        <v>-33279.520000000004</v>
      </c>
      <c r="K46" s="46">
        <f>SUM(H40:H46)</f>
        <v>46130.479999999996</v>
      </c>
      <c r="L46" t="s">
        <v>224</v>
      </c>
      <c r="M46" t="s">
        <v>120</v>
      </c>
      <c r="N46" s="45">
        <v>45683</v>
      </c>
    </row>
    <row r="47" spans="1:15" x14ac:dyDescent="0.25">
      <c r="A47" t="s">
        <v>270</v>
      </c>
      <c r="B47" s="69">
        <v>45804</v>
      </c>
      <c r="C47" t="str">
        <f>IFERROR(VLOOKUP((VALUE(MID(A47,4,3))),ProjectsList[],3,FALSE),"")</f>
        <v>Gasket</v>
      </c>
      <c r="E47" s="44">
        <v>0</v>
      </c>
      <c r="F47" s="44">
        <v>0</v>
      </c>
      <c r="G47" s="44">
        <v>679.25</v>
      </c>
      <c r="H47" s="46">
        <f>IncomeTracking[[#This Row],[Miscellaneous Exp.]]+IncomeTracking[[#This Row],[Travel Expenses]]+IncomeTracking[[#This Row],[Consulting Amount]]</f>
        <v>679.25</v>
      </c>
      <c r="I47" s="46" cm="1">
        <f t="array" ref="I47">INDEX(IncomeTracking[Running Balance], (ROW()-3))+IncomeTracking[[#This Row],[Total Invoice]]</f>
        <v>-32600.270000000004</v>
      </c>
      <c r="M47" t="s">
        <v>120</v>
      </c>
      <c r="N47" s="45">
        <v>45833</v>
      </c>
    </row>
    <row r="48" spans="1:15" ht="60" x14ac:dyDescent="0.25">
      <c r="B48" s="69">
        <v>45805</v>
      </c>
      <c r="C48" t="s">
        <v>251</v>
      </c>
      <c r="E48" s="44">
        <v>0</v>
      </c>
      <c r="F48" s="44">
        <v>0</v>
      </c>
      <c r="G48" s="44">
        <v>0</v>
      </c>
      <c r="H48" s="46">
        <f>IncomeTracking[[#This Row],[Miscellaneous Exp.]]+IncomeTracking[[#This Row],[Travel Expenses]]+IncomeTracking[[#This Row],[Consulting Amount]]</f>
        <v>0</v>
      </c>
      <c r="I48" s="46" cm="1">
        <f t="array" ref="I48">INDEX(IncomeTracking[Running Balance], (ROW()-3))+IncomeTracking[[#This Row],[Total Invoice]]-H47</f>
        <v>-33279.520000000004</v>
      </c>
      <c r="N48" s="45"/>
      <c r="O48" t="s">
        <v>275</v>
      </c>
    </row>
    <row r="49" spans="1:14" x14ac:dyDescent="0.25">
      <c r="A49" t="s">
        <v>263</v>
      </c>
      <c r="B49" s="69">
        <v>45825</v>
      </c>
      <c r="C49" t="str">
        <f>IFERROR(VLOOKUP((VALUE(MID(A49,4,3))),ProjectsList[],3,FALSE),"")</f>
        <v>IP - Riverdale, AL RB1 and RB2</v>
      </c>
      <c r="E49" s="44">
        <v>10120</v>
      </c>
      <c r="F49" s="44">
        <v>2084.16</v>
      </c>
      <c r="G49" s="44">
        <v>0</v>
      </c>
      <c r="H49" s="46">
        <f>IncomeTracking[[#This Row],[Miscellaneous Exp.]]+IncomeTracking[[#This Row],[Travel Expenses]]+IncomeTracking[[#This Row],[Consulting Amount]]</f>
        <v>12204.16</v>
      </c>
      <c r="I49" s="46" cm="1">
        <f t="array" ref="I49">INDEX(IncomeTracking[Running Balance], (ROW()-3))+IncomeTracking[[#This Row],[Total Invoice]]</f>
        <v>-21075.360000000004</v>
      </c>
      <c r="M49" t="s">
        <v>120</v>
      </c>
      <c r="N49" s="45">
        <v>45683</v>
      </c>
    </row>
    <row r="50" spans="1:14" x14ac:dyDescent="0.25">
      <c r="A50" t="s">
        <v>264</v>
      </c>
      <c r="B50" s="69">
        <v>45828</v>
      </c>
      <c r="C50" t="str">
        <f>IFERROR(VLOOKUP((VALUE(MID(A50,4,3))),ProjectsList[],3,FALSE),"")</f>
        <v>MMSD Outlet Duct - Model Study</v>
      </c>
      <c r="E50" s="44">
        <v>1100</v>
      </c>
      <c r="F50" s="44">
        <v>0</v>
      </c>
      <c r="G50" s="44">
        <v>0</v>
      </c>
      <c r="H50" s="46">
        <f>IncomeTracking[[#This Row],[Miscellaneous Exp.]]+IncomeTracking[[#This Row],[Travel Expenses]]+IncomeTracking[[#This Row],[Consulting Amount]]</f>
        <v>1100</v>
      </c>
      <c r="I50" s="46" cm="1">
        <f t="array" ref="I50">INDEX(IncomeTracking[Running Balance], (ROW()-3))+IncomeTracking[[#This Row],[Total Invoice]]</f>
        <v>-19975.360000000004</v>
      </c>
      <c r="K50" s="46">
        <f>H49+IncomeTracking[[#This Row],[Total Invoice]]</f>
        <v>13304.16</v>
      </c>
      <c r="L50" t="s">
        <v>252</v>
      </c>
      <c r="M50" t="s">
        <v>120</v>
      </c>
      <c r="N50" s="45">
        <v>45683</v>
      </c>
    </row>
    <row r="51" spans="1:14" x14ac:dyDescent="0.25">
      <c r="A51" t="s">
        <v>265</v>
      </c>
      <c r="B51" s="69">
        <v>45864</v>
      </c>
      <c r="C51" t="str">
        <f>IFERROR(VLOOKUP((VALUE(MID(A51,4,3))),ProjectsList[],3,FALSE),"")</f>
        <v>OI Brockway Glass</v>
      </c>
      <c r="E51" s="44">
        <v>6215</v>
      </c>
      <c r="F51" s="44">
        <v>2314.64</v>
      </c>
      <c r="G51" s="44"/>
      <c r="H51" s="46">
        <f>IncomeTracking[[#This Row],[Miscellaneous Exp.]]+IncomeTracking[[#This Row],[Travel Expenses]]+IncomeTracking[[#This Row],[Consulting Amount]]</f>
        <v>8529.64</v>
      </c>
      <c r="I51" s="46" cm="1">
        <f t="array" ref="I51">INDEX(IncomeTracking[Running Balance], (ROW()-3))+IncomeTracking[[#This Row],[Total Invoice]]</f>
        <v>-11445.720000000005</v>
      </c>
      <c r="M51" t="s">
        <v>120</v>
      </c>
      <c r="N51" s="45">
        <v>45683</v>
      </c>
    </row>
    <row r="52" spans="1:14" x14ac:dyDescent="0.25">
      <c r="A52" t="s">
        <v>266</v>
      </c>
      <c r="B52" s="69">
        <v>45864</v>
      </c>
      <c r="C52" t="str">
        <f>IFERROR(VLOOKUP((VALUE(MID(A52,4,3))),ProjectsList[],3,FALSE),"")</f>
        <v>Suncor Weekly Meetings</v>
      </c>
      <c r="E52" s="44">
        <v>4400</v>
      </c>
      <c r="F52" s="44"/>
      <c r="G52" s="44"/>
      <c r="H52" s="46">
        <f>IncomeTracking[[#This Row],[Miscellaneous Exp.]]+IncomeTracking[[#This Row],[Travel Expenses]]+IncomeTracking[[#This Row],[Consulting Amount]]</f>
        <v>4400</v>
      </c>
      <c r="I52" s="46" cm="1">
        <f t="array" ref="I52">INDEX(IncomeTracking[Running Balance], (ROW()-3))+IncomeTracking[[#This Row],[Total Invoice]]</f>
        <v>-7045.7200000000048</v>
      </c>
      <c r="M52" t="s">
        <v>120</v>
      </c>
      <c r="N52" s="45">
        <v>45683</v>
      </c>
    </row>
    <row r="53" spans="1:14" x14ac:dyDescent="0.25">
      <c r="A53" t="s">
        <v>267</v>
      </c>
      <c r="B53" s="69">
        <v>45864</v>
      </c>
      <c r="C53" t="str">
        <f>IFERROR(VLOOKUP((VALUE(MID(A53,4,3))),ProjectsList[],3,FALSE),"")</f>
        <v>Suncor Extra Engineering</v>
      </c>
      <c r="E53" s="44">
        <v>2420</v>
      </c>
      <c r="F53" s="44"/>
      <c r="G53" s="44"/>
      <c r="H53" s="46">
        <f>IncomeTracking[[#This Row],[Miscellaneous Exp.]]+IncomeTracking[[#This Row],[Travel Expenses]]+IncomeTracking[[#This Row],[Consulting Amount]]</f>
        <v>2420</v>
      </c>
      <c r="I53" s="46" cm="1">
        <f t="array" ref="I53">INDEX(IncomeTracking[Running Balance], (ROW()-3))+IncomeTracking[[#This Row],[Total Invoice]]</f>
        <v>-4625.7200000000048</v>
      </c>
      <c r="M53" t="s">
        <v>120</v>
      </c>
      <c r="N53" s="45">
        <v>45683</v>
      </c>
    </row>
    <row r="54" spans="1:14" x14ac:dyDescent="0.25">
      <c r="A54" t="s">
        <v>268</v>
      </c>
      <c r="B54" s="69">
        <v>45864</v>
      </c>
      <c r="C54" t="str">
        <f>IFERROR(VLOOKUP((VALUE(MID(A54,4,3))),ProjectsList[],3,FALSE),"")</f>
        <v>Holcim Lafarge - Joppa</v>
      </c>
      <c r="E54" s="44">
        <v>110</v>
      </c>
      <c r="F54" s="44"/>
      <c r="G54" s="44"/>
      <c r="H54" s="46">
        <f>IncomeTracking[[#This Row],[Miscellaneous Exp.]]+IncomeTracking[[#This Row],[Travel Expenses]]+IncomeTracking[[#This Row],[Consulting Amount]]</f>
        <v>110</v>
      </c>
      <c r="I54" s="46" cm="1">
        <f t="array" ref="I54">INDEX(IncomeTracking[Running Balance], (ROW()-3))+IncomeTracking[[#This Row],[Total Invoice]]</f>
        <v>-4515.7200000000048</v>
      </c>
      <c r="M54" t="s">
        <v>120</v>
      </c>
      <c r="N54" s="45">
        <v>45683</v>
      </c>
    </row>
    <row r="55" spans="1:14" x14ac:dyDescent="0.25">
      <c r="A55" t="s">
        <v>269</v>
      </c>
      <c r="B55" s="69">
        <v>45864</v>
      </c>
      <c r="C55" t="str">
        <f>IFERROR(VLOOKUP((VALUE(MID(A55,4,3))),ProjectsList[],3,FALSE),"")</f>
        <v>Rio Tinto FS &amp; FC ESP</v>
      </c>
      <c r="E55" s="44">
        <v>110</v>
      </c>
      <c r="F55" s="44"/>
      <c r="G55" s="44"/>
      <c r="H55" s="46">
        <f>IncomeTracking[[#This Row],[Miscellaneous Exp.]]+IncomeTracking[[#This Row],[Travel Expenses]]+IncomeTracking[[#This Row],[Consulting Amount]]</f>
        <v>110</v>
      </c>
      <c r="I55" s="46" cm="1">
        <f t="array" ref="I55">INDEX(IncomeTracking[Running Balance], (ROW()-3))+IncomeTracking[[#This Row],[Total Invoice]]</f>
        <v>-4405.7200000000048</v>
      </c>
      <c r="M55" t="s">
        <v>120</v>
      </c>
      <c r="N55" s="45">
        <v>45683</v>
      </c>
    </row>
    <row r="56" spans="1:14" x14ac:dyDescent="0.25">
      <c r="A56" t="s">
        <v>271</v>
      </c>
      <c r="B56" s="69">
        <v>45864</v>
      </c>
      <c r="C56" t="str">
        <f>IFERROR(VLOOKUP((VALUE(MID(A56,4,3))),ProjectsList[],3,FALSE),"")</f>
        <v>Infinite Cooling WESP</v>
      </c>
      <c r="E56" s="44">
        <v>220</v>
      </c>
      <c r="F56" s="44"/>
      <c r="G56" s="44"/>
      <c r="H56" s="46">
        <f>IncomeTracking[[#This Row],[Miscellaneous Exp.]]+IncomeTracking[[#This Row],[Travel Expenses]]+IncomeTracking[[#This Row],[Consulting Amount]]</f>
        <v>220</v>
      </c>
      <c r="I56" s="46" cm="1">
        <f t="array" ref="I56">INDEX(IncomeTracking[Running Balance], (ROW()-3))+IncomeTracking[[#This Row],[Total Invoice]]</f>
        <v>-4185.7200000000048</v>
      </c>
      <c r="M56" t="s">
        <v>120</v>
      </c>
      <c r="N56" s="45">
        <v>45683</v>
      </c>
    </row>
    <row r="57" spans="1:14" x14ac:dyDescent="0.25">
      <c r="A57" t="s">
        <v>273</v>
      </c>
      <c r="B57" s="69">
        <v>45864</v>
      </c>
      <c r="C57" t="str">
        <f>IFERROR(VLOOKUP((VALUE(MID(A57,4,3))),ProjectsList[],3,FALSE),"")</f>
        <v>Help with Envision</v>
      </c>
      <c r="E57" s="44">
        <v>330</v>
      </c>
      <c r="F57" s="44"/>
      <c r="G57" s="44"/>
      <c r="H57" s="46">
        <f>IncomeTracking[[#This Row],[Miscellaneous Exp.]]+IncomeTracking[[#This Row],[Travel Expenses]]+IncomeTracking[[#This Row],[Consulting Amount]]</f>
        <v>330</v>
      </c>
      <c r="I57" s="46" cm="1">
        <f t="array" ref="I57">INDEX(IncomeTracking[Running Balance], (ROW()-3))+IncomeTracking[[#This Row],[Total Invoice]]</f>
        <v>-3855.7200000000048</v>
      </c>
      <c r="M57" t="s">
        <v>120</v>
      </c>
      <c r="N57" s="45">
        <v>45683</v>
      </c>
    </row>
    <row r="58" spans="1:14" x14ac:dyDescent="0.25">
      <c r="A58" t="s">
        <v>272</v>
      </c>
      <c r="B58" s="69">
        <v>45864</v>
      </c>
      <c r="C58" t="str">
        <f>IFERROR(VLOOKUP((VALUE(MID(A58,4,3))),ProjectsList[],3,FALSE),"")</f>
        <v>Hopewell - powerplus installation</v>
      </c>
      <c r="E58" s="44">
        <v>220</v>
      </c>
      <c r="F58" s="44"/>
      <c r="G58" s="44"/>
      <c r="H58" s="46">
        <f>IncomeTracking[[#This Row],[Miscellaneous Exp.]]+IncomeTracking[[#This Row],[Travel Expenses]]+IncomeTracking[[#This Row],[Consulting Amount]]</f>
        <v>220</v>
      </c>
      <c r="I58" s="46" cm="1">
        <f t="array" ref="I58">INDEX(IncomeTracking[Running Balance], (ROW()-3))+IncomeTracking[[#This Row],[Total Invoice]]</f>
        <v>-3635.7200000000048</v>
      </c>
      <c r="M58" t="s">
        <v>120</v>
      </c>
      <c r="N58" s="45">
        <v>45683</v>
      </c>
    </row>
    <row r="59" spans="1:14" x14ac:dyDescent="0.25">
      <c r="A59" t="s">
        <v>274</v>
      </c>
      <c r="B59" s="69">
        <v>45864</v>
      </c>
      <c r="C59" t="str">
        <f>IFERROR(VLOOKUP((VALUE(MID(A59,4,3))),ProjectsList[],3,FALSE),"")</f>
        <v>Suncor Model Study - Crossover &amp; Mods</v>
      </c>
      <c r="E59" s="44">
        <v>28350</v>
      </c>
      <c r="F59" s="44"/>
      <c r="G59" s="44"/>
      <c r="H59" s="46">
        <f>IncomeTracking[[#This Row],[Miscellaneous Exp.]]+IncomeTracking[[#This Row],[Travel Expenses]]+IncomeTracking[[#This Row],[Consulting Amount]]</f>
        <v>28350</v>
      </c>
      <c r="I59" s="46" cm="1">
        <f t="array" ref="I59">INDEX(IncomeTracking[Running Balance], (ROW()-3))+IncomeTracking[[#This Row],[Total Invoice]]</f>
        <v>24714.279999999995</v>
      </c>
      <c r="K59" s="46">
        <f>SUM(H51:H59)</f>
        <v>44689.64</v>
      </c>
      <c r="M59" t="s">
        <v>120</v>
      </c>
      <c r="N59" s="45">
        <v>45895</v>
      </c>
    </row>
    <row r="60" spans="1:14" x14ac:dyDescent="0.25">
      <c r="A60" t="s">
        <v>284</v>
      </c>
      <c r="B60" s="69">
        <v>45914</v>
      </c>
      <c r="C60" t="str">
        <f>IFERROR(VLOOKUP((VALUE(MID(A60,4,3))),ProjectsList[],3,FALSE),"")</f>
        <v>TRK - Ardagh-Pevely Conveyor</v>
      </c>
      <c r="E60" s="44">
        <v>4840</v>
      </c>
      <c r="F60" s="44">
        <v>1537</v>
      </c>
      <c r="G60" s="44"/>
      <c r="H60" s="46">
        <f>IncomeTracking[[#This Row],[Miscellaneous Exp.]]+IncomeTracking[[#This Row],[Travel Expenses]]+IncomeTracking[[#This Row],[Consulting Amount]]</f>
        <v>6377</v>
      </c>
      <c r="I60" s="46" cm="1">
        <f t="array" ref="I60">INDEX(IncomeTracking[Running Balance], (ROW()-3))+IncomeTracking[[#This Row],[Total Invoice]]</f>
        <v>31091.279999999995</v>
      </c>
      <c r="M60" t="s">
        <v>120</v>
      </c>
      <c r="N60" s="45">
        <v>45929</v>
      </c>
    </row>
    <row r="61" spans="1:14" x14ac:dyDescent="0.25">
      <c r="A61" t="s">
        <v>299</v>
      </c>
      <c r="B61" s="69">
        <v>45935</v>
      </c>
      <c r="C61" t="str">
        <f>IFERROR(VLOOKUP((VALUE(MID(A61,4,3))),ProjectsList[],3,FALSE),"")</f>
        <v>IP - Pine Hill, AL</v>
      </c>
      <c r="E61" s="44">
        <v>2805</v>
      </c>
      <c r="F61" s="44">
        <v>739.86</v>
      </c>
      <c r="G61" s="44"/>
      <c r="H61" s="46">
        <f>IncomeTracking[[#This Row],[Miscellaneous Exp.]]+IncomeTracking[[#This Row],[Travel Expenses]]+IncomeTracking[[#This Row],[Consulting Amount]]</f>
        <v>3544.86</v>
      </c>
      <c r="I61" s="46" cm="1">
        <f t="array" ref="I61">INDEX(IncomeTracking[Running Balance], (ROW()-3))+IncomeTracking[[#This Row],[Total Invoice]]</f>
        <v>34636.139999999992</v>
      </c>
      <c r="M61" t="s">
        <v>120</v>
      </c>
      <c r="N61" s="45">
        <v>45960</v>
      </c>
    </row>
    <row r="62" spans="1:14" x14ac:dyDescent="0.25">
      <c r="A62" t="s">
        <v>300</v>
      </c>
      <c r="B62" s="69">
        <v>45935</v>
      </c>
      <c r="C62" t="str">
        <f>IFERROR(VLOOKUP((VALUE(MID(A62,4,3))),ProjectsList[],3,FALSE),"")</f>
        <v>IP - Riverdale, AL BB2</v>
      </c>
      <c r="E62" s="44">
        <v>7040</v>
      </c>
      <c r="F62" s="44">
        <v>1429.07</v>
      </c>
      <c r="G62" s="44"/>
      <c r="H62" s="46">
        <f>IncomeTracking[[#This Row],[Miscellaneous Exp.]]+IncomeTracking[[#This Row],[Travel Expenses]]+IncomeTracking[[#This Row],[Consulting Amount]]</f>
        <v>8469.07</v>
      </c>
      <c r="I62" s="46" cm="1">
        <f t="array" ref="I62">INDEX(IncomeTracking[Running Balance], (ROW()-3))+IncomeTracking[[#This Row],[Total Invoice]]</f>
        <v>43105.209999999992</v>
      </c>
      <c r="K62" s="46">
        <f>H61+IncomeTracking[[#This Row],[Total Invoice]]</f>
        <v>12013.93</v>
      </c>
      <c r="M62" t="s">
        <v>120</v>
      </c>
      <c r="N62" s="45">
        <v>45960</v>
      </c>
    </row>
    <row r="63" spans="1:14" x14ac:dyDescent="0.25">
      <c r="A63" t="s">
        <v>312</v>
      </c>
      <c r="B63" s="69">
        <v>45978</v>
      </c>
      <c r="C63" t="str">
        <f>IFERROR(VLOOKUP((VALUE(MID(A63,4,3))),ProjectsList[],3,FALSE),"")</f>
        <v>IP - Rome, GA RB5 &amp; WHB6</v>
      </c>
      <c r="E63" s="44">
        <v>9900</v>
      </c>
      <c r="F63" s="44">
        <v>2443.25</v>
      </c>
      <c r="G63" s="44"/>
      <c r="H63" s="46">
        <f>IncomeTracking[[#This Row],[Miscellaneous Exp.]]+IncomeTracking[[#This Row],[Travel Expenses]]+IncomeTracking[[#This Row],[Consulting Amount]]</f>
        <v>12343.25</v>
      </c>
      <c r="I63" s="46" cm="1">
        <f t="array" ref="I63">INDEX(IncomeTracking[Running Balance], (ROW()-3))+IncomeTracking[[#This Row],[Total Invoice]]</f>
        <v>55448.459999999992</v>
      </c>
      <c r="M63" t="s">
        <v>120</v>
      </c>
      <c r="N63" s="45">
        <v>45999</v>
      </c>
    </row>
    <row r="64" spans="1:14" x14ac:dyDescent="0.25">
      <c r="A64" t="s">
        <v>317</v>
      </c>
      <c r="B64" s="69">
        <v>45978</v>
      </c>
      <c r="C64" t="str">
        <f>IFERROR(VLOOKUP((VALUE(MID(A64,4,3))),ProjectsList[],3,FALSE),"")</f>
        <v>Suncor Weekly Meetings</v>
      </c>
      <c r="E64" s="44">
        <v>1540</v>
      </c>
      <c r="F64" s="44"/>
      <c r="G64" s="44"/>
      <c r="H64" s="46">
        <f>IncomeTracking[[#This Row],[Miscellaneous Exp.]]+IncomeTracking[[#This Row],[Travel Expenses]]+IncomeTracking[[#This Row],[Consulting Amount]]</f>
        <v>1540</v>
      </c>
      <c r="I64" s="46" cm="1">
        <f t="array" ref="I64">INDEX(IncomeTracking[Running Balance], (ROW()-3))+IncomeTracking[[#This Row],[Total Invoice]]</f>
        <v>56988.459999999992</v>
      </c>
      <c r="M64" t="s">
        <v>120</v>
      </c>
      <c r="N64" s="45">
        <v>45999</v>
      </c>
    </row>
    <row r="65" spans="1:14" x14ac:dyDescent="0.25">
      <c r="A65" t="s">
        <v>318</v>
      </c>
      <c r="B65" s="69">
        <v>45978</v>
      </c>
      <c r="C65" t="str">
        <f>IFERROR(VLOOKUP((VALUE(MID(A65,4,3))),ProjectsList[],3,FALSE),"")</f>
        <v>Rio Tinto FS &amp; FC ESP</v>
      </c>
      <c r="E65" s="44">
        <v>990</v>
      </c>
      <c r="F65" s="44"/>
      <c r="G65" s="44"/>
      <c r="H65" s="46">
        <f>IncomeTracking[[#This Row],[Miscellaneous Exp.]]+IncomeTracking[[#This Row],[Travel Expenses]]+IncomeTracking[[#This Row],[Consulting Amount]]</f>
        <v>990</v>
      </c>
      <c r="I65" s="46" cm="1">
        <f t="array" ref="I65">INDEX(IncomeTracking[Running Balance], (ROW()-3))+IncomeTracking[[#This Row],[Total Invoice]]</f>
        <v>57978.459999999992</v>
      </c>
      <c r="M65" t="s">
        <v>120</v>
      </c>
      <c r="N65" s="45">
        <v>45999</v>
      </c>
    </row>
    <row r="66" spans="1:14" x14ac:dyDescent="0.25">
      <c r="A66" t="s">
        <v>319</v>
      </c>
      <c r="B66" s="69">
        <v>45978</v>
      </c>
      <c r="C66" t="str">
        <f>IFERROR(VLOOKUP((VALUE(MID(A66,4,3))),ProjectsList[],3,FALSE),"")</f>
        <v>Suncor Extra Engineering</v>
      </c>
      <c r="E66" s="44">
        <v>3630</v>
      </c>
      <c r="F66" s="44"/>
      <c r="G66" s="44"/>
      <c r="H66" s="46">
        <f>IncomeTracking[[#This Row],[Miscellaneous Exp.]]+IncomeTracking[[#This Row],[Travel Expenses]]+IncomeTracking[[#This Row],[Consulting Amount]]</f>
        <v>3630</v>
      </c>
      <c r="I66" s="46" cm="1">
        <f t="array" ref="I66">INDEX(IncomeTracking[Running Balance], (ROW()-3))+IncomeTracking[[#This Row],[Total Invoice]]</f>
        <v>61608.459999999992</v>
      </c>
      <c r="M66" t="s">
        <v>120</v>
      </c>
      <c r="N66" s="45">
        <v>45999</v>
      </c>
    </row>
    <row r="67" spans="1:14" x14ac:dyDescent="0.25">
      <c r="A67" t="s">
        <v>321</v>
      </c>
      <c r="B67" s="69">
        <v>45978</v>
      </c>
      <c r="C67" t="str">
        <f>IFERROR(VLOOKUP((VALUE(MID(A67,4,3))),ProjectsList[],3,FALSE),"")</f>
        <v>Ardagh Glass, Pevely</v>
      </c>
      <c r="E67" s="44">
        <v>5390</v>
      </c>
      <c r="F67" s="44">
        <v>3099.34</v>
      </c>
      <c r="G67" s="44"/>
      <c r="H67" s="46">
        <f>IncomeTracking[[#This Row],[Miscellaneous Exp.]]+IncomeTracking[[#This Row],[Travel Expenses]]+IncomeTracking[[#This Row],[Consulting Amount]]</f>
        <v>8489.34</v>
      </c>
      <c r="I67" s="46" cm="1">
        <f t="array" ref="I67">INDEX(IncomeTracking[Running Balance], (ROW()-3))+IncomeTracking[[#This Row],[Total Invoice]]</f>
        <v>70097.799999999988</v>
      </c>
      <c r="M67" t="s">
        <v>120</v>
      </c>
      <c r="N67" s="45">
        <v>45999</v>
      </c>
    </row>
    <row r="68" spans="1:14" x14ac:dyDescent="0.25">
      <c r="A68" t="s">
        <v>320</v>
      </c>
      <c r="B68" s="69">
        <v>45978</v>
      </c>
      <c r="C68" t="str">
        <f>IFERROR(VLOOKUP((VALUE(MID(A68,4,3))),ProjectsList[],3,FALSE),"")</f>
        <v>Small Projects - General Office help</v>
      </c>
      <c r="E68" s="44">
        <v>2420</v>
      </c>
      <c r="F68" s="44"/>
      <c r="G68" s="44"/>
      <c r="H68" s="46">
        <f>IncomeTracking[[#This Row],[Miscellaneous Exp.]]+IncomeTracking[[#This Row],[Travel Expenses]]+IncomeTracking[[#This Row],[Consulting Amount]]</f>
        <v>2420</v>
      </c>
      <c r="I68" s="46" cm="1">
        <f t="array" ref="I68">INDEX(IncomeTracking[Running Balance], (ROW()-3))+IncomeTracking[[#This Row],[Total Invoice]]</f>
        <v>72517.799999999988</v>
      </c>
      <c r="K68" s="46">
        <f>SUM(H63:H68)</f>
        <v>29412.59</v>
      </c>
      <c r="M68" t="s">
        <v>120</v>
      </c>
      <c r="N68" s="45">
        <v>45999</v>
      </c>
    </row>
    <row r="69" spans="1:14" x14ac:dyDescent="0.25">
      <c r="A69" t="s">
        <v>337</v>
      </c>
      <c r="B69" s="69">
        <v>46014</v>
      </c>
      <c r="C69" t="str">
        <f>IFERROR(VLOOKUP((VALUE(MID(A69,4,3))),ProjectsList[],3,FALSE),"")</f>
        <v>Infinite Cooling WESP</v>
      </c>
      <c r="E69" s="44">
        <v>330</v>
      </c>
      <c r="F69" s="44"/>
      <c r="G69" s="44"/>
      <c r="H69" s="46">
        <f>IncomeTracking[[#This Row],[Miscellaneous Exp.]]+IncomeTracking[[#This Row],[Travel Expenses]]+IncomeTracking[[#This Row],[Consulting Amount]]</f>
        <v>330</v>
      </c>
      <c r="I69" s="46" cm="1">
        <f t="array" ref="I69">INDEX(IncomeTracking[Running Balance], (ROW()-3))+IncomeTracking[[#This Row],[Total Invoice]]</f>
        <v>72847.799999999988</v>
      </c>
      <c r="M69" t="s">
        <v>120</v>
      </c>
      <c r="N69" s="45">
        <v>46027</v>
      </c>
    </row>
    <row r="70" spans="1:14" x14ac:dyDescent="0.25">
      <c r="A70" t="s">
        <v>339</v>
      </c>
      <c r="B70" s="69">
        <v>46014</v>
      </c>
      <c r="C70" t="str">
        <f>IFERROR(VLOOKUP((VALUE(MID(A70,4,3))),ProjectsList[],3,FALSE),"")</f>
        <v>Small Projects - General Office help</v>
      </c>
      <c r="E70" s="44">
        <v>220</v>
      </c>
      <c r="F70" s="44"/>
      <c r="G70" s="44"/>
      <c r="H70" s="46">
        <f>IncomeTracking[[#This Row],[Miscellaneous Exp.]]+IncomeTracking[[#This Row],[Travel Expenses]]+IncomeTracking[[#This Row],[Consulting Amount]]</f>
        <v>220</v>
      </c>
      <c r="I70" s="46" cm="1">
        <f t="array" ref="I70">INDEX(IncomeTracking[Running Balance], (ROW()-3))+IncomeTracking[[#This Row],[Total Invoice]]</f>
        <v>73067.799999999988</v>
      </c>
      <c r="M70" t="s">
        <v>120</v>
      </c>
      <c r="N70" s="45">
        <v>46027</v>
      </c>
    </row>
    <row r="71" spans="1:14" x14ac:dyDescent="0.25">
      <c r="A71" t="s">
        <v>340</v>
      </c>
      <c r="B71" s="69">
        <v>46014</v>
      </c>
      <c r="C71" t="str">
        <f>IFERROR(VLOOKUP((VALUE(MID(A71,4,3))),ProjectsList[],3,FALSE),"")</f>
        <v>Suncor Extra Engineering</v>
      </c>
      <c r="E71" s="44">
        <v>3300</v>
      </c>
      <c r="F71" s="44">
        <v>772.58</v>
      </c>
      <c r="G71" s="44"/>
      <c r="H71" s="46">
        <f>IncomeTracking[[#This Row],[Miscellaneous Exp.]]+IncomeTracking[[#This Row],[Travel Expenses]]+IncomeTracking[[#This Row],[Consulting Amount]]</f>
        <v>4072.58</v>
      </c>
      <c r="I71" s="46" cm="1">
        <f t="array" ref="I71">INDEX(IncomeTracking[Running Balance], (ROW()-3))+IncomeTracking[[#This Row],[Total Invoice]]</f>
        <v>77140.37999999999</v>
      </c>
      <c r="K71" s="46">
        <f>H69+H70+IncomeTracking[[#This Row],[Total Invoice]]</f>
        <v>4622.58</v>
      </c>
      <c r="M71" t="s">
        <v>120</v>
      </c>
      <c r="N71" s="45">
        <v>46027</v>
      </c>
    </row>
    <row r="72" spans="1:14" x14ac:dyDescent="0.25">
      <c r="B72" s="69"/>
      <c r="C72" t="str">
        <f>IFERROR(VLOOKUP((VALUE(MID(A72,4,3))),ProjectsList[],3,FALSE),"")</f>
        <v/>
      </c>
      <c r="E72" s="44"/>
      <c r="F72" s="44"/>
      <c r="G72" s="44"/>
      <c r="H72" s="46">
        <f>IncomeTracking[[#This Row],[Miscellaneous Exp.]]+IncomeTracking[[#This Row],[Travel Expenses]]+IncomeTracking[[#This Row],[Consulting Amount]]</f>
        <v>0</v>
      </c>
      <c r="I72" s="46" cm="1">
        <f t="array" ref="I72">INDEX(IncomeTracking[Running Balance], (ROW()-3))+IncomeTracking[[#This Row],[Total Invoice]]</f>
        <v>77140.37999999999</v>
      </c>
      <c r="N72" s="45"/>
    </row>
    <row r="73" spans="1:14" x14ac:dyDescent="0.25">
      <c r="B73" s="69"/>
      <c r="C73" t="str">
        <f>IFERROR(VLOOKUP((VALUE(MID(A73,4,3))),ProjectsList[],3,FALSE),"")</f>
        <v/>
      </c>
      <c r="E73" s="44"/>
      <c r="F73" s="44"/>
      <c r="G73" s="44"/>
      <c r="H73" s="46">
        <f>IncomeTracking[[#This Row],[Miscellaneous Exp.]]+IncomeTracking[[#This Row],[Travel Expenses]]+IncomeTracking[[#This Row],[Consulting Amount]]</f>
        <v>0</v>
      </c>
      <c r="I73" s="46" cm="1">
        <f t="array" ref="I73">INDEX(IncomeTracking[Running Balance], (ROW()-3))+IncomeTracking[[#This Row],[Total Invoice]]</f>
        <v>77140.37999999999</v>
      </c>
      <c r="N73" s="45"/>
    </row>
    <row r="74" spans="1:14" x14ac:dyDescent="0.25">
      <c r="B74" s="69"/>
      <c r="C74" t="str">
        <f>IFERROR(VLOOKUP((VALUE(MID(A74,4,3))),ProjectsList[],3,FALSE),"")</f>
        <v/>
      </c>
      <c r="E74" s="44"/>
      <c r="F74" s="44"/>
      <c r="G74" s="44"/>
      <c r="H74" s="46">
        <f>IncomeTracking[[#This Row],[Miscellaneous Exp.]]+IncomeTracking[[#This Row],[Travel Expenses]]+IncomeTracking[[#This Row],[Consulting Amount]]</f>
        <v>0</v>
      </c>
      <c r="I74" s="46" cm="1">
        <f t="array" ref="I74">INDEX(IncomeTracking[Running Balance], (ROW()-3))+IncomeTracking[[#This Row],[Total Invoice]]</f>
        <v>77140.37999999999</v>
      </c>
      <c r="N74" s="45"/>
    </row>
    <row r="75" spans="1:14" x14ac:dyDescent="0.25">
      <c r="B75" s="69"/>
      <c r="C75" t="str">
        <f>IFERROR(VLOOKUP((VALUE(MID(A75,4,3))),ProjectsList[],3,FALSE),"")</f>
        <v/>
      </c>
      <c r="E75" s="44"/>
      <c r="F75" s="44"/>
      <c r="G75" s="44"/>
      <c r="H75" s="46">
        <f>IncomeTracking[[#This Row],[Miscellaneous Exp.]]+IncomeTracking[[#This Row],[Travel Expenses]]+IncomeTracking[[#This Row],[Consulting Amount]]</f>
        <v>0</v>
      </c>
      <c r="I75" s="46" cm="1">
        <f t="array" ref="I75">INDEX(IncomeTracking[Running Balance], (ROW()-3))+IncomeTracking[[#This Row],[Total Invoice]]</f>
        <v>77140.37999999999</v>
      </c>
      <c r="N75" s="45"/>
    </row>
    <row r="76" spans="1:14" x14ac:dyDescent="0.25">
      <c r="B76" s="69"/>
      <c r="C76" t="str">
        <f>IFERROR(VLOOKUP((VALUE(MID(A76,4,3))),ProjectsList[],3,FALSE),"")</f>
        <v/>
      </c>
      <c r="E76" s="44"/>
      <c r="F76" s="44"/>
      <c r="G76" s="44"/>
      <c r="H76" s="46">
        <f>IncomeTracking[[#This Row],[Miscellaneous Exp.]]+IncomeTracking[[#This Row],[Travel Expenses]]+IncomeTracking[[#This Row],[Consulting Amount]]</f>
        <v>0</v>
      </c>
      <c r="I76" s="46" cm="1">
        <f t="array" ref="I76">INDEX(IncomeTracking[Running Balance], (ROW()-3))+IncomeTracking[[#This Row],[Total Invoice]]</f>
        <v>77140.37999999999</v>
      </c>
      <c r="N76" s="45"/>
    </row>
    <row r="77" spans="1:14" x14ac:dyDescent="0.25">
      <c r="B77" s="69"/>
      <c r="C77" t="str">
        <f>IFERROR(VLOOKUP((VALUE(MID(A77,4,3))),ProjectsList[],3,FALSE),"")</f>
        <v/>
      </c>
      <c r="E77" s="44"/>
      <c r="F77" s="44"/>
      <c r="G77" s="44"/>
      <c r="H77" s="46">
        <f>IncomeTracking[[#This Row],[Miscellaneous Exp.]]+IncomeTracking[[#This Row],[Travel Expenses]]+IncomeTracking[[#This Row],[Consulting Amount]]</f>
        <v>0</v>
      </c>
      <c r="I77" s="46" cm="1">
        <f t="array" ref="I77">INDEX(IncomeTracking[Running Balance], (ROW()-3))+IncomeTracking[[#This Row],[Total Invoice]]</f>
        <v>77140.37999999999</v>
      </c>
      <c r="N77" s="45"/>
    </row>
    <row r="78" spans="1:14" x14ac:dyDescent="0.25">
      <c r="B78" s="69"/>
      <c r="C78" t="str">
        <f>IFERROR(VLOOKUP((VALUE(MID(A78,4,3))),ProjectsList[],3,FALSE),"")</f>
        <v/>
      </c>
      <c r="E78" s="44"/>
      <c r="F78" s="44"/>
      <c r="G78" s="44"/>
      <c r="H78" s="46">
        <f>IncomeTracking[[#This Row],[Miscellaneous Exp.]]+IncomeTracking[[#This Row],[Travel Expenses]]+IncomeTracking[[#This Row],[Consulting Amount]]</f>
        <v>0</v>
      </c>
      <c r="I78" s="46" cm="1">
        <f t="array" ref="I78">INDEX(IncomeTracking[Running Balance], (ROW()-3))+IncomeTracking[[#This Row],[Total Invoice]]</f>
        <v>77140.37999999999</v>
      </c>
      <c r="N78" s="45"/>
    </row>
    <row r="79" spans="1:14" x14ac:dyDescent="0.25">
      <c r="B79" s="69"/>
      <c r="C79" t="str">
        <f>IFERROR(VLOOKUP((VALUE(MID(A79,4,3))),ProjectsList[],3,FALSE),"")</f>
        <v/>
      </c>
      <c r="E79" s="44"/>
      <c r="F79" s="44"/>
      <c r="G79" s="44"/>
      <c r="H79" s="46">
        <f>IncomeTracking[[#This Row],[Miscellaneous Exp.]]+IncomeTracking[[#This Row],[Travel Expenses]]+IncomeTracking[[#This Row],[Consulting Amount]]</f>
        <v>0</v>
      </c>
      <c r="I79" s="46" cm="1">
        <f t="array" ref="I79">INDEX(IncomeTracking[Running Balance], (ROW()-3))+IncomeTracking[[#This Row],[Total Invoice]]</f>
        <v>77140.37999999999</v>
      </c>
      <c r="N79" s="45"/>
    </row>
    <row r="80" spans="1:14" x14ac:dyDescent="0.25">
      <c r="B80" s="69"/>
      <c r="C80" t="str">
        <f>IFERROR(VLOOKUP((VALUE(MID(A80,4,3))),ProjectsList[],3,FALSE),"")</f>
        <v/>
      </c>
      <c r="E80" s="44"/>
      <c r="F80" s="44"/>
      <c r="G80" s="44"/>
      <c r="H80" s="46">
        <f>IncomeTracking[[#This Row],[Miscellaneous Exp.]]+IncomeTracking[[#This Row],[Travel Expenses]]+IncomeTracking[[#This Row],[Consulting Amount]]</f>
        <v>0</v>
      </c>
      <c r="I80" s="46" cm="1">
        <f t="array" ref="I80">INDEX(IncomeTracking[Running Balance], (ROW()-3))+IncomeTracking[[#This Row],[Total Invoice]]</f>
        <v>77140.37999999999</v>
      </c>
      <c r="N80" s="45"/>
    </row>
    <row r="81" spans="2:14" x14ac:dyDescent="0.25">
      <c r="B81" s="69"/>
      <c r="C81" t="str">
        <f>IFERROR(VLOOKUP((VALUE(MID(A81,4,3))),ProjectsList[],3,FALSE),"")</f>
        <v/>
      </c>
      <c r="E81" s="44"/>
      <c r="F81" s="44"/>
      <c r="G81" s="44"/>
      <c r="H81" s="46">
        <f>IncomeTracking[[#This Row],[Miscellaneous Exp.]]+IncomeTracking[[#This Row],[Travel Expenses]]+IncomeTracking[[#This Row],[Consulting Amount]]</f>
        <v>0</v>
      </c>
      <c r="I81" s="46" cm="1">
        <f t="array" ref="I81">INDEX(IncomeTracking[Running Balance], (ROW()-3))+IncomeTracking[[#This Row],[Total Invoice]]</f>
        <v>77140.37999999999</v>
      </c>
      <c r="N81" s="45"/>
    </row>
    <row r="82" spans="2:14" x14ac:dyDescent="0.25">
      <c r="B82" s="69"/>
      <c r="C82" t="str">
        <f>IFERROR(VLOOKUP((VALUE(MID(A82,4,3))),ProjectsList[],3,FALSE),"")</f>
        <v/>
      </c>
      <c r="E82" s="44"/>
      <c r="F82" s="44"/>
      <c r="G82" s="44"/>
      <c r="H82" s="46">
        <f>IncomeTracking[[#This Row],[Miscellaneous Exp.]]+IncomeTracking[[#This Row],[Travel Expenses]]+IncomeTracking[[#This Row],[Consulting Amount]]</f>
        <v>0</v>
      </c>
      <c r="I82" s="46" cm="1">
        <f t="array" ref="I82">INDEX(IncomeTracking[Running Balance], (ROW()-3))+IncomeTracking[[#This Row],[Total Invoice]]</f>
        <v>77140.37999999999</v>
      </c>
      <c r="N82" s="45"/>
    </row>
    <row r="83" spans="2:14" x14ac:dyDescent="0.25">
      <c r="B83" s="69"/>
      <c r="C83" t="str">
        <f>IFERROR(VLOOKUP((VALUE(MID(A83,4,3))),ProjectsList[],3,FALSE),"")</f>
        <v/>
      </c>
      <c r="E83" s="44"/>
      <c r="F83" s="44"/>
      <c r="G83" s="44"/>
      <c r="H83" s="46">
        <f>IncomeTracking[[#This Row],[Miscellaneous Exp.]]+IncomeTracking[[#This Row],[Travel Expenses]]+IncomeTracking[[#This Row],[Consulting Amount]]</f>
        <v>0</v>
      </c>
      <c r="I83" s="46" cm="1">
        <f t="array" ref="I83">INDEX(IncomeTracking[Running Balance], (ROW()-3))+IncomeTracking[[#This Row],[Total Invoice]]</f>
        <v>77140.37999999999</v>
      </c>
      <c r="N83" s="45"/>
    </row>
    <row r="84" spans="2:14" x14ac:dyDescent="0.25">
      <c r="B84" s="69"/>
      <c r="C84" t="str">
        <f>IFERROR(VLOOKUP((VALUE(MID(A84,4,3))),ProjectsList[],3,FALSE),"")</f>
        <v/>
      </c>
      <c r="E84" s="44"/>
      <c r="F84" s="44"/>
      <c r="G84" s="44"/>
      <c r="H84" s="46">
        <f>IncomeTracking[[#This Row],[Miscellaneous Exp.]]+IncomeTracking[[#This Row],[Travel Expenses]]+IncomeTracking[[#This Row],[Consulting Amount]]</f>
        <v>0</v>
      </c>
      <c r="I84" s="46" cm="1">
        <f t="array" ref="I84">INDEX(IncomeTracking[Running Balance], (ROW()-3))+IncomeTracking[[#This Row],[Total Invoice]]</f>
        <v>77140.37999999999</v>
      </c>
      <c r="N84" s="45"/>
    </row>
    <row r="85" spans="2:14" x14ac:dyDescent="0.25">
      <c r="B85" s="69"/>
      <c r="C85" t="str">
        <f>IFERROR(VLOOKUP((VALUE(MID(A85,4,3))),ProjectsList[],3,FALSE),"")</f>
        <v/>
      </c>
      <c r="E85" s="44"/>
      <c r="F85" s="44"/>
      <c r="G85" s="44"/>
      <c r="H85" s="46">
        <f>IncomeTracking[[#This Row],[Miscellaneous Exp.]]+IncomeTracking[[#This Row],[Travel Expenses]]+IncomeTracking[[#This Row],[Consulting Amount]]</f>
        <v>0</v>
      </c>
      <c r="I85" s="46" cm="1">
        <f t="array" ref="I85">INDEX(IncomeTracking[Running Balance], (ROW()-3))+IncomeTracking[[#This Row],[Total Invoice]]</f>
        <v>77140.37999999999</v>
      </c>
      <c r="N85" s="45"/>
    </row>
    <row r="86" spans="2:14" x14ac:dyDescent="0.25">
      <c r="B86" s="69"/>
      <c r="C86" t="str">
        <f>IFERROR(VLOOKUP((VALUE(MID(A86,4,3))),ProjectsList[],3,FALSE),"")</f>
        <v/>
      </c>
      <c r="E86" s="44"/>
      <c r="F86" s="44"/>
      <c r="G86" s="44"/>
      <c r="H86" s="46">
        <f>IncomeTracking[[#This Row],[Miscellaneous Exp.]]+IncomeTracking[[#This Row],[Travel Expenses]]+IncomeTracking[[#This Row],[Consulting Amount]]</f>
        <v>0</v>
      </c>
      <c r="I86" s="46" cm="1">
        <f t="array" ref="I86">INDEX(IncomeTracking[Running Balance], (ROW()-3))+IncomeTracking[[#This Row],[Total Invoice]]</f>
        <v>77140.37999999999</v>
      </c>
      <c r="N86" s="45"/>
    </row>
    <row r="87" spans="2:14" x14ac:dyDescent="0.25">
      <c r="B87" s="69"/>
      <c r="C87" t="str">
        <f>IFERROR(VLOOKUP((VALUE(MID(A87,4,3))),ProjectsList[],3,FALSE),"")</f>
        <v/>
      </c>
      <c r="E87" s="44"/>
      <c r="F87" s="44"/>
      <c r="G87" s="44"/>
      <c r="H87" s="46">
        <f>IncomeTracking[[#This Row],[Miscellaneous Exp.]]+IncomeTracking[[#This Row],[Travel Expenses]]+IncomeTracking[[#This Row],[Consulting Amount]]</f>
        <v>0</v>
      </c>
      <c r="I87" s="46" cm="1">
        <f t="array" ref="I87">INDEX(IncomeTracking[Running Balance], (ROW()-3))+IncomeTracking[[#This Row],[Total Invoice]]</f>
        <v>77140.37999999999</v>
      </c>
      <c r="N87" s="45"/>
    </row>
    <row r="88" spans="2:14" x14ac:dyDescent="0.25">
      <c r="B88" s="69"/>
      <c r="C88" t="str">
        <f>IFERROR(VLOOKUP((VALUE(MID(A88,4,3))),ProjectsList[],3,FALSE),"")</f>
        <v/>
      </c>
      <c r="E88" s="44"/>
      <c r="F88" s="44"/>
      <c r="G88" s="44"/>
      <c r="H88" s="46">
        <f>IncomeTracking[[#This Row],[Miscellaneous Exp.]]+IncomeTracking[[#This Row],[Travel Expenses]]+IncomeTracking[[#This Row],[Consulting Amount]]</f>
        <v>0</v>
      </c>
      <c r="I88" s="46" cm="1">
        <f t="array" ref="I88">INDEX(IncomeTracking[Running Balance], (ROW()-3))+IncomeTracking[[#This Row],[Total Invoice]]</f>
        <v>77140.37999999999</v>
      </c>
      <c r="N88" s="45"/>
    </row>
    <row r="89" spans="2:14" x14ac:dyDescent="0.25">
      <c r="B89" s="69"/>
      <c r="C89" t="str">
        <f>IFERROR(VLOOKUP((VALUE(MID(A89,4,3))),ProjectsList[],3,FALSE),"")</f>
        <v/>
      </c>
      <c r="E89" s="44"/>
      <c r="F89" s="44"/>
      <c r="G89" s="44"/>
      <c r="H89" s="46">
        <f>IncomeTracking[[#This Row],[Miscellaneous Exp.]]+IncomeTracking[[#This Row],[Travel Expenses]]+IncomeTracking[[#This Row],[Consulting Amount]]</f>
        <v>0</v>
      </c>
      <c r="I89" s="46" cm="1">
        <f t="array" ref="I89">INDEX(IncomeTracking[Running Balance], (ROW()-3))+IncomeTracking[[#This Row],[Total Invoice]]</f>
        <v>77140.37999999999</v>
      </c>
      <c r="N89" s="45"/>
    </row>
    <row r="90" spans="2:14" x14ac:dyDescent="0.25">
      <c r="B90" s="69"/>
      <c r="C90" t="str">
        <f>IFERROR(VLOOKUP((VALUE(MID(A90,4,3))),ProjectsList[],3,FALSE),"")</f>
        <v/>
      </c>
      <c r="E90" s="44"/>
      <c r="F90" s="44"/>
      <c r="G90" s="44"/>
      <c r="H90" s="46">
        <f>IncomeTracking[[#This Row],[Miscellaneous Exp.]]+IncomeTracking[[#This Row],[Travel Expenses]]+IncomeTracking[[#This Row],[Consulting Amount]]</f>
        <v>0</v>
      </c>
      <c r="I90" s="46" cm="1">
        <f t="array" ref="I90">INDEX(IncomeTracking[Running Balance], (ROW()-3))+IncomeTracking[[#This Row],[Total Invoice]]</f>
        <v>77140.37999999999</v>
      </c>
      <c r="N90" s="45"/>
    </row>
    <row r="91" spans="2:14" x14ac:dyDescent="0.25">
      <c r="B91" s="69"/>
      <c r="C91" t="str">
        <f>IFERROR(VLOOKUP((VALUE(MID(A91,4,3))),ProjectsList[],3,FALSE),"")</f>
        <v/>
      </c>
      <c r="E91" s="44"/>
      <c r="F91" s="44"/>
      <c r="G91" s="44"/>
      <c r="H91" s="46">
        <f>IncomeTracking[[#This Row],[Miscellaneous Exp.]]+IncomeTracking[[#This Row],[Travel Expenses]]+IncomeTracking[[#This Row],[Consulting Amount]]</f>
        <v>0</v>
      </c>
      <c r="I91" s="46" cm="1">
        <f t="array" ref="I91">INDEX(IncomeTracking[Running Balance], (ROW()-3))+IncomeTracking[[#This Row],[Total Invoice]]</f>
        <v>77140.37999999999</v>
      </c>
      <c r="N91" s="45"/>
    </row>
    <row r="92" spans="2:14" x14ac:dyDescent="0.25">
      <c r="B92" s="69"/>
      <c r="C92" t="str">
        <f>IFERROR(VLOOKUP((VALUE(MID(A92,4,3))),ProjectsList[],3,FALSE),"")</f>
        <v/>
      </c>
      <c r="E92" s="44"/>
      <c r="F92" s="44"/>
      <c r="G92" s="44"/>
      <c r="H92" s="46">
        <f>IncomeTracking[[#This Row],[Miscellaneous Exp.]]+IncomeTracking[[#This Row],[Travel Expenses]]+IncomeTracking[[#This Row],[Consulting Amount]]</f>
        <v>0</v>
      </c>
      <c r="I92" s="46" cm="1">
        <f t="array" ref="I92">INDEX(IncomeTracking[Running Balance], (ROW()-3))+IncomeTracking[[#This Row],[Total Invoice]]</f>
        <v>77140.37999999999</v>
      </c>
      <c r="N92" s="45"/>
    </row>
    <row r="93" spans="2:14" x14ac:dyDescent="0.25">
      <c r="B93" s="69"/>
      <c r="C93" t="str">
        <f>IFERROR(VLOOKUP((VALUE(MID(A93,4,3))),ProjectsList[],3,FALSE),"")</f>
        <v/>
      </c>
      <c r="E93" s="44"/>
      <c r="F93" s="44"/>
      <c r="G93" s="44"/>
      <c r="H93" s="46">
        <f>IncomeTracking[[#This Row],[Miscellaneous Exp.]]+IncomeTracking[[#This Row],[Travel Expenses]]+IncomeTracking[[#This Row],[Consulting Amount]]</f>
        <v>0</v>
      </c>
      <c r="I93" s="46" cm="1">
        <f t="array" ref="I93">INDEX(IncomeTracking[Running Balance], (ROW()-3))+IncomeTracking[[#This Row],[Total Invoice]]</f>
        <v>77140.37999999999</v>
      </c>
      <c r="N93" s="45"/>
    </row>
    <row r="94" spans="2:14" x14ac:dyDescent="0.25">
      <c r="B94" s="69"/>
      <c r="C94" t="str">
        <f>IFERROR(VLOOKUP((VALUE(MID(A94,4,3))),ProjectsList[],3,FALSE),"")</f>
        <v/>
      </c>
      <c r="E94" s="44"/>
      <c r="F94" s="44"/>
      <c r="G94" s="44"/>
      <c r="H94" s="46">
        <f>IncomeTracking[[#This Row],[Miscellaneous Exp.]]+IncomeTracking[[#This Row],[Travel Expenses]]+IncomeTracking[[#This Row],[Consulting Amount]]</f>
        <v>0</v>
      </c>
      <c r="I94" s="46" cm="1">
        <f t="array" ref="I94">INDEX(IncomeTracking[Running Balance], (ROW()-3))+IncomeTracking[[#This Row],[Total Invoice]]</f>
        <v>77140.37999999999</v>
      </c>
      <c r="N94" s="45"/>
    </row>
    <row r="95" spans="2:14" x14ac:dyDescent="0.25">
      <c r="B95" s="69"/>
      <c r="C95" t="str">
        <f>IFERROR(VLOOKUP((VALUE(MID(A95,4,3))),ProjectsList[],3,FALSE),"")</f>
        <v/>
      </c>
      <c r="E95" s="44"/>
      <c r="F95" s="44"/>
      <c r="G95" s="44"/>
      <c r="H95" s="46">
        <f>IncomeTracking[[#This Row],[Miscellaneous Exp.]]+IncomeTracking[[#This Row],[Travel Expenses]]+IncomeTracking[[#This Row],[Consulting Amount]]</f>
        <v>0</v>
      </c>
      <c r="I95" s="46" cm="1">
        <f t="array" ref="I95">INDEX(IncomeTracking[Running Balance], (ROW()-3))+IncomeTracking[[#This Row],[Total Invoice]]</f>
        <v>77140.37999999999</v>
      </c>
      <c r="N95" s="45"/>
    </row>
    <row r="96" spans="2:14" x14ac:dyDescent="0.25">
      <c r="B96" s="69"/>
      <c r="C96" t="str">
        <f>IFERROR(VLOOKUP((VALUE(MID(A96,4,3))),ProjectsList[],3,FALSE),"")</f>
        <v/>
      </c>
      <c r="E96" s="44"/>
      <c r="F96" s="44"/>
      <c r="G96" s="44"/>
      <c r="H96" s="46">
        <f>IncomeTracking[[#This Row],[Miscellaneous Exp.]]+IncomeTracking[[#This Row],[Travel Expenses]]+IncomeTracking[[#This Row],[Consulting Amount]]</f>
        <v>0</v>
      </c>
      <c r="I96" s="46" cm="1">
        <f t="array" ref="I96">INDEX(IncomeTracking[Running Balance], (ROW()-3))+IncomeTracking[[#This Row],[Total Invoice]]</f>
        <v>77140.37999999999</v>
      </c>
      <c r="N96" s="45"/>
    </row>
    <row r="97" spans="2:14" x14ac:dyDescent="0.25">
      <c r="B97" s="69"/>
      <c r="C97" t="str">
        <f>IFERROR(VLOOKUP((VALUE(MID(A97,4,3))),ProjectsList[],3,FALSE),"")</f>
        <v/>
      </c>
      <c r="E97" s="44"/>
      <c r="F97" s="44"/>
      <c r="G97" s="44"/>
      <c r="H97" s="46">
        <f>IncomeTracking[[#This Row],[Miscellaneous Exp.]]+IncomeTracking[[#This Row],[Travel Expenses]]+IncomeTracking[[#This Row],[Consulting Amount]]</f>
        <v>0</v>
      </c>
      <c r="I97" s="46" cm="1">
        <f t="array" ref="I97">INDEX(IncomeTracking[Running Balance], (ROW()-3))+IncomeTracking[[#This Row],[Total Invoice]]</f>
        <v>77140.37999999999</v>
      </c>
      <c r="N97" s="45"/>
    </row>
    <row r="98" spans="2:14" x14ac:dyDescent="0.25">
      <c r="B98" s="69"/>
      <c r="C98" t="str">
        <f>IFERROR(VLOOKUP((VALUE(MID(A98,4,3))),ProjectsList[],3,FALSE),"")</f>
        <v/>
      </c>
      <c r="E98" s="44"/>
      <c r="F98" s="44"/>
      <c r="G98" s="44"/>
      <c r="H98" s="46">
        <f>IncomeTracking[[#This Row],[Miscellaneous Exp.]]+IncomeTracking[[#This Row],[Travel Expenses]]+IncomeTracking[[#This Row],[Consulting Amount]]</f>
        <v>0</v>
      </c>
      <c r="I98" s="46" cm="1">
        <f t="array" ref="I98">INDEX(IncomeTracking[Running Balance], (ROW()-3))+IncomeTracking[[#This Row],[Total Invoice]]</f>
        <v>77140.37999999999</v>
      </c>
      <c r="N98" s="45"/>
    </row>
    <row r="99" spans="2:14" x14ac:dyDescent="0.25">
      <c r="B99" s="69"/>
      <c r="C99" t="str">
        <f>IFERROR(VLOOKUP((VALUE(MID(A99,4,3))),ProjectsList[],3,FALSE),"")</f>
        <v/>
      </c>
      <c r="E99" s="44"/>
      <c r="F99" s="44"/>
      <c r="G99" s="44"/>
      <c r="H99" s="46">
        <f>IncomeTracking[[#This Row],[Miscellaneous Exp.]]+IncomeTracking[[#This Row],[Travel Expenses]]+IncomeTracking[[#This Row],[Consulting Amount]]</f>
        <v>0</v>
      </c>
      <c r="I99" s="46" cm="1">
        <f t="array" ref="I99">INDEX(IncomeTracking[Running Balance], (ROW()-3))+IncomeTracking[[#This Row],[Total Invoice]]</f>
        <v>77140.37999999999</v>
      </c>
      <c r="N99" s="45"/>
    </row>
    <row r="100" spans="2:14" x14ac:dyDescent="0.25">
      <c r="B100" s="69"/>
      <c r="C100" t="str">
        <f>IFERROR(VLOOKUP((VALUE(MID(A100,4,3))),ProjectsList[],3,FALSE),"")</f>
        <v/>
      </c>
      <c r="E100" s="44"/>
      <c r="F100" s="44"/>
      <c r="G100" s="44"/>
      <c r="H100" s="46">
        <f>IncomeTracking[[#This Row],[Miscellaneous Exp.]]+IncomeTracking[[#This Row],[Travel Expenses]]+IncomeTracking[[#This Row],[Consulting Amount]]</f>
        <v>0</v>
      </c>
      <c r="I100" s="46" cm="1">
        <f t="array" ref="I100">INDEX(IncomeTracking[Running Balance], (ROW()-3))+IncomeTracking[[#This Row],[Total Invoice]]</f>
        <v>77140.37999999999</v>
      </c>
      <c r="N100" s="45"/>
    </row>
    <row r="101" spans="2:14" x14ac:dyDescent="0.25">
      <c r="B101" s="69"/>
      <c r="C101" t="str">
        <f>IFERROR(VLOOKUP((VALUE(MID(A101,4,3))),ProjectsList[],3,FALSE),"")</f>
        <v/>
      </c>
      <c r="E101" s="44"/>
      <c r="F101" s="44"/>
      <c r="G101" s="44"/>
      <c r="H101" s="46">
        <f>IncomeTracking[[#This Row],[Miscellaneous Exp.]]+IncomeTracking[[#This Row],[Travel Expenses]]+IncomeTracking[[#This Row],[Consulting Amount]]</f>
        <v>0</v>
      </c>
      <c r="I101" s="46" cm="1">
        <f t="array" ref="I101">INDEX(IncomeTracking[Running Balance], (ROW()-3))+IncomeTracking[[#This Row],[Total Invoice]]</f>
        <v>77140.37999999999</v>
      </c>
      <c r="N101" s="45"/>
    </row>
    <row r="102" spans="2:14" x14ac:dyDescent="0.25">
      <c r="B102" s="69"/>
      <c r="C102" t="str">
        <f>IFERROR(VLOOKUP((VALUE(MID(A102,4,3))),ProjectsList[],3,FALSE),"")</f>
        <v/>
      </c>
      <c r="E102" s="44"/>
      <c r="F102" s="44"/>
      <c r="G102" s="44"/>
      <c r="H102" s="46">
        <f>IncomeTracking[[#This Row],[Miscellaneous Exp.]]+IncomeTracking[[#This Row],[Travel Expenses]]+IncomeTracking[[#This Row],[Consulting Amount]]</f>
        <v>0</v>
      </c>
      <c r="I102" s="46" cm="1">
        <f t="array" ref="I102">INDEX(IncomeTracking[Running Balance], (ROW()-3))+IncomeTracking[[#This Row],[Total Invoice]]</f>
        <v>77140.37999999999</v>
      </c>
      <c r="N102" s="45"/>
    </row>
    <row r="103" spans="2:14" x14ac:dyDescent="0.25">
      <c r="B103" s="69"/>
      <c r="C103" t="str">
        <f>IFERROR(VLOOKUP((VALUE(MID(A103,4,3))),ProjectsList[],3,FALSE),"")</f>
        <v/>
      </c>
      <c r="E103" s="44"/>
      <c r="F103" s="44"/>
      <c r="G103" s="44"/>
      <c r="H103" s="46">
        <f>IncomeTracking[[#This Row],[Miscellaneous Exp.]]+IncomeTracking[[#This Row],[Travel Expenses]]+IncomeTracking[[#This Row],[Consulting Amount]]</f>
        <v>0</v>
      </c>
      <c r="I103" s="46" cm="1">
        <f t="array" ref="I103">INDEX(IncomeTracking[Running Balance], (ROW()-3))+IncomeTracking[[#This Row],[Total Invoice]]</f>
        <v>77140.37999999999</v>
      </c>
      <c r="N103" s="45"/>
    </row>
    <row r="104" spans="2:14" x14ac:dyDescent="0.25">
      <c r="B104" s="69"/>
      <c r="C104" t="str">
        <f>IFERROR(VLOOKUP((VALUE(MID(A104,4,3))),ProjectsList[],3,FALSE),"")</f>
        <v/>
      </c>
      <c r="E104" s="44"/>
      <c r="F104" s="44"/>
      <c r="G104" s="44"/>
      <c r="H104" s="46">
        <f>IncomeTracking[[#This Row],[Miscellaneous Exp.]]+IncomeTracking[[#This Row],[Travel Expenses]]+IncomeTracking[[#This Row],[Consulting Amount]]</f>
        <v>0</v>
      </c>
      <c r="I104" s="46" cm="1">
        <f t="array" ref="I104">INDEX(IncomeTracking[Running Balance], (ROW()-3))+IncomeTracking[[#This Row],[Total Invoice]]</f>
        <v>77140.37999999999</v>
      </c>
      <c r="N104" s="45"/>
    </row>
    <row r="105" spans="2:14" x14ac:dyDescent="0.25">
      <c r="B105" s="69"/>
      <c r="C105" t="str">
        <f>IFERROR(VLOOKUP((VALUE(MID(A105,4,3))),ProjectsList[],3,FALSE),"")</f>
        <v/>
      </c>
      <c r="E105" s="44"/>
      <c r="F105" s="44"/>
      <c r="G105" s="44"/>
      <c r="H105" s="46">
        <f>IncomeTracking[[#This Row],[Miscellaneous Exp.]]+IncomeTracking[[#This Row],[Travel Expenses]]+IncomeTracking[[#This Row],[Consulting Amount]]</f>
        <v>0</v>
      </c>
      <c r="I105" s="46" cm="1">
        <f t="array" ref="I105">INDEX(IncomeTracking[Running Balance], (ROW()-3))+IncomeTracking[[#This Row],[Total Invoice]]</f>
        <v>77140.37999999999</v>
      </c>
      <c r="N105" s="45"/>
    </row>
    <row r="106" spans="2:14" x14ac:dyDescent="0.25">
      <c r="B106" s="69"/>
      <c r="C106" t="str">
        <f>IFERROR(VLOOKUP((VALUE(MID(A106,4,3))),ProjectsList[],3,FALSE),"")</f>
        <v/>
      </c>
      <c r="E106" s="44"/>
      <c r="F106" s="44"/>
      <c r="G106" s="44"/>
      <c r="H106" s="46">
        <f>IncomeTracking[[#This Row],[Miscellaneous Exp.]]+IncomeTracking[[#This Row],[Travel Expenses]]+IncomeTracking[[#This Row],[Consulting Amount]]</f>
        <v>0</v>
      </c>
      <c r="I106" s="46" cm="1">
        <f t="array" ref="I106">INDEX(IncomeTracking[Running Balance], (ROW()-3))+IncomeTracking[[#This Row],[Total Invoice]]</f>
        <v>77140.37999999999</v>
      </c>
      <c r="N106" s="45"/>
    </row>
    <row r="107" spans="2:14" x14ac:dyDescent="0.25">
      <c r="B107" s="69"/>
      <c r="C107" t="str">
        <f>IFERROR(VLOOKUP((VALUE(MID(A107,4,3))),ProjectsList[],3,FALSE),"")</f>
        <v/>
      </c>
      <c r="E107" s="44"/>
      <c r="F107" s="44"/>
      <c r="G107" s="44"/>
      <c r="H107" s="46">
        <f>IncomeTracking[[#This Row],[Miscellaneous Exp.]]+IncomeTracking[[#This Row],[Travel Expenses]]+IncomeTracking[[#This Row],[Consulting Amount]]</f>
        <v>0</v>
      </c>
      <c r="I107" s="46" cm="1">
        <f t="array" ref="I107">INDEX(IncomeTracking[Running Balance], (ROW()-3))+IncomeTracking[[#This Row],[Total Invoice]]</f>
        <v>77140.37999999999</v>
      </c>
      <c r="N107" s="45"/>
    </row>
    <row r="108" spans="2:14" x14ac:dyDescent="0.25">
      <c r="B108" s="69"/>
      <c r="C108" t="str">
        <f>IFERROR(VLOOKUP((VALUE(MID(A108,4,3))),ProjectsList[],3,FALSE),"")</f>
        <v/>
      </c>
      <c r="E108" s="44"/>
      <c r="F108" s="44"/>
      <c r="G108" s="44"/>
      <c r="H108" s="46">
        <f>IncomeTracking[[#This Row],[Miscellaneous Exp.]]+IncomeTracking[[#This Row],[Travel Expenses]]+IncomeTracking[[#This Row],[Consulting Amount]]</f>
        <v>0</v>
      </c>
      <c r="I108" s="46" cm="1">
        <f t="array" ref="I108">INDEX(IncomeTracking[Running Balance], (ROW()-3))+IncomeTracking[[#This Row],[Total Invoice]]</f>
        <v>77140.37999999999</v>
      </c>
      <c r="N108" s="45"/>
    </row>
    <row r="109" spans="2:14" x14ac:dyDescent="0.25">
      <c r="B109" s="69"/>
      <c r="C109" t="str">
        <f>IFERROR(VLOOKUP((VALUE(MID(A109,4,3))),ProjectsList[],3,FALSE),"")</f>
        <v/>
      </c>
      <c r="E109" s="44"/>
      <c r="F109" s="44"/>
      <c r="G109" s="44"/>
      <c r="H109" s="46">
        <f>IncomeTracking[[#This Row],[Miscellaneous Exp.]]+IncomeTracking[[#This Row],[Travel Expenses]]+IncomeTracking[[#This Row],[Consulting Amount]]</f>
        <v>0</v>
      </c>
      <c r="I109" s="46" cm="1">
        <f t="array" ref="I109">INDEX(IncomeTracking[Running Balance], (ROW()-3))+IncomeTracking[[#This Row],[Total Invoice]]</f>
        <v>77140.37999999999</v>
      </c>
      <c r="N109" s="45"/>
    </row>
    <row r="110" spans="2:14" x14ac:dyDescent="0.25">
      <c r="B110" s="69"/>
      <c r="C110" t="str">
        <f>IFERROR(VLOOKUP((VALUE(MID(A110,4,3))),ProjectsList[],3,FALSE),"")</f>
        <v/>
      </c>
      <c r="E110" s="44"/>
      <c r="F110" s="44"/>
      <c r="G110" s="44"/>
      <c r="H110" s="46">
        <f>IncomeTracking[[#This Row],[Miscellaneous Exp.]]+IncomeTracking[[#This Row],[Travel Expenses]]+IncomeTracking[[#This Row],[Consulting Amount]]</f>
        <v>0</v>
      </c>
      <c r="I110" s="46" cm="1">
        <f t="array" ref="I110">INDEX(IncomeTracking[Running Balance], (ROW()-3))+IncomeTracking[[#This Row],[Total Invoice]]</f>
        <v>77140.37999999999</v>
      </c>
      <c r="N110" s="45"/>
    </row>
    <row r="111" spans="2:14" x14ac:dyDescent="0.25">
      <c r="B111" s="69"/>
      <c r="C111" t="str">
        <f>IFERROR(VLOOKUP((VALUE(MID(A111,4,3))),ProjectsList[],3,FALSE),"")</f>
        <v/>
      </c>
      <c r="E111" s="44"/>
      <c r="F111" s="44"/>
      <c r="G111" s="44"/>
      <c r="H111" s="46">
        <f>IncomeTracking[[#This Row],[Miscellaneous Exp.]]+IncomeTracking[[#This Row],[Travel Expenses]]+IncomeTracking[[#This Row],[Consulting Amount]]</f>
        <v>0</v>
      </c>
      <c r="I111" s="46" cm="1">
        <f t="array" ref="I111">INDEX(IncomeTracking[Running Balance], (ROW()-3))+IncomeTracking[[#This Row],[Total Invoice]]</f>
        <v>77140.37999999999</v>
      </c>
      <c r="N111" s="45"/>
    </row>
    <row r="112" spans="2:14" x14ac:dyDescent="0.25">
      <c r="B112" s="69"/>
      <c r="C112" t="str">
        <f>IFERROR(VLOOKUP((VALUE(MID(A112,4,3))),ProjectsList[],3,FALSE),"")</f>
        <v/>
      </c>
      <c r="E112" s="44"/>
      <c r="F112" s="44"/>
      <c r="G112" s="44"/>
      <c r="H112" s="46">
        <f>IncomeTracking[[#This Row],[Miscellaneous Exp.]]+IncomeTracking[[#This Row],[Travel Expenses]]+IncomeTracking[[#This Row],[Consulting Amount]]</f>
        <v>0</v>
      </c>
      <c r="I112" s="46" cm="1">
        <f t="array" ref="I112">INDEX(IncomeTracking[Running Balance], (ROW()-3))+IncomeTracking[[#This Row],[Total Invoice]]</f>
        <v>77140.37999999999</v>
      </c>
    </row>
    <row r="126" spans="1:1" ht="45" x14ac:dyDescent="0.25">
      <c r="A126" t="s">
        <v>177</v>
      </c>
    </row>
    <row r="127" spans="1:1" x14ac:dyDescent="0.25">
      <c r="A127" t="str" cm="1">
        <f t="array" ref="A127">IFERROR(_xlfn.CHOOSECOLS(_xlfn._xlws.FILTER(TimeLog[],(TimeLog[Invoice '#]=rngInvoice)*(TimeLog[Date]&gt;=F7)*(TimeLog[Date]&lt;=H7)),1,5,6,7,10,11),"No Matches")</f>
        <v>No Matches</v>
      </c>
    </row>
  </sheetData>
  <mergeCells count="1">
    <mergeCell ref="A1:O1"/>
  </mergeCells>
  <phoneticPr fontId="19" type="noConversion"/>
  <dataValidations count="1">
    <dataValidation type="list" allowBlank="1" showInputMessage="1" showErrorMessage="1" sqref="M3:M112" xr:uid="{B1B2DCED-8367-4D0D-85CC-3FBD4A85945F}">
      <formula1>"Y,N"</formula1>
    </dataValidation>
  </dataValidations>
  <pageMargins left="0.5" right="0.5" top="0.5" bottom="0.5" header="0.3" footer="0.3"/>
  <pageSetup scale="65" orientation="landscape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2" ma:contentTypeDescription="Create a new document." ma:contentTypeScope="" ma:versionID="a754d229f0057affa62b555f2ac55d44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c067517bd06b16cb9c9e315ad40fb255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  <Status xmlns="71af3243-3dd4-4a8d-8c0d-dd76da1f02a5">Not started</Status>
  </documentManagement>
</p:properties>
</file>

<file path=customXml/itemProps1.xml><?xml version="1.0" encoding="utf-8"?>
<ds:datastoreItem xmlns:ds="http://schemas.openxmlformats.org/officeDocument/2006/customXml" ds:itemID="{99F30CEA-6D05-4B1D-8ED8-16A4798C43B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88E6A8D-8506-4921-9AAC-35C577A39F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3A445B-6F4E-403F-A36E-68D87D4B8C1F}">
  <ds:schemaRefs>
    <ds:schemaRef ds:uri="http://schemas.openxmlformats.org/package/2006/metadata/core-properties"/>
    <ds:schemaRef ds:uri="http://schemas.microsoft.com/office/2006/metadata/properties"/>
    <ds:schemaRef ds:uri="16c05727-aa75-4e4a-9b5f-8a80a1165891"/>
    <ds:schemaRef ds:uri="http://schemas.microsoft.com/office/2006/documentManagement/types"/>
    <ds:schemaRef ds:uri="http://purl.org/dc/dcmitype/"/>
    <ds:schemaRef ds:uri="71af3243-3dd4-4a8d-8c0d-dd76da1f02a5"/>
    <ds:schemaRef ds:uri="http://purl.org/dc/elements/1.1/"/>
    <ds:schemaRef ds:uri="http://schemas.microsoft.com/office/infopath/2007/PartnerControl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TM03107658</Template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12</vt:i4>
      </vt:variant>
    </vt:vector>
  </HeadingPairs>
  <TitlesOfParts>
    <vt:vector size="18" baseType="lpstr">
      <vt:lpstr>Invoice</vt:lpstr>
      <vt:lpstr>Customers</vt:lpstr>
      <vt:lpstr>Projects</vt:lpstr>
      <vt:lpstr>Time Log</vt:lpstr>
      <vt:lpstr>Expense Log</vt:lpstr>
      <vt:lpstr>Income Tracking</vt:lpstr>
      <vt:lpstr>CompanyName</vt:lpstr>
      <vt:lpstr>CustomerLookup</vt:lpstr>
      <vt:lpstr>Invoice_No</vt:lpstr>
      <vt:lpstr>'Expense Log'!Invoice_No2</vt:lpstr>
      <vt:lpstr>'Income Tracking'!Print_Area</vt:lpstr>
      <vt:lpstr>Invoice!Print_Area</vt:lpstr>
      <vt:lpstr>Customers!Print_Titles</vt:lpstr>
      <vt:lpstr>Invoice!Print_Titles</vt:lpstr>
      <vt:lpstr>Projects!Print_Titles</vt:lpstr>
      <vt:lpstr>'Time Log'!Print_Titles</vt:lpstr>
      <vt:lpstr>ProjectLookup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2019-07-08T21:21:18Z</dcterms:created>
  <dcterms:modified xsi:type="dcterms:W3CDTF">2026-01-05T22:01:35Z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